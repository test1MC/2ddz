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pivotCache/pivotCacheDefinition10.xml" ContentType="application/vnd.openxmlformats-officedocument.spreadsheetml.pivotCacheDefinition+xml"/>
  <Override PartName="/xl/pivotCache/pivotCacheRecords10.xml" ContentType="application/vnd.openxmlformats-officedocument.spreadsheetml.pivotCacheRecords+xml"/>
  <Override PartName="/xl/pivotCache/pivotCacheDefinition11.xml" ContentType="application/vnd.openxmlformats-officedocument.spreadsheetml.pivotCacheDefinition+xml"/>
  <Override PartName="/xl/pivotCache/pivotCacheRecords11.xml" ContentType="application/vnd.openxmlformats-officedocument.spreadsheetml.pivotCacheRecords+xml"/>
  <Override PartName="/xl/pivotCache/pivotCacheDefinition12.xml" ContentType="application/vnd.openxmlformats-officedocument.spreadsheetml.pivotCacheDefinition+xml"/>
  <Override PartName="/xl/pivotCache/pivotCacheRecords12.xml" ContentType="application/vnd.openxmlformats-officedocument.spreadsheetml.pivotCacheRecords+xml"/>
  <Override PartName="/xl/pivotCache/pivotCacheDefinition13.xml" ContentType="application/vnd.openxmlformats-officedocument.spreadsheetml.pivotCacheDefinition+xml"/>
  <Override PartName="/xl/pivotCache/pivotCacheRecords13.xml" ContentType="application/vnd.openxmlformats-officedocument.spreadsheetml.pivotCacheRecords+xml"/>
  <Override PartName="/xl/pivotCache/pivotCacheDefinition14.xml" ContentType="application/vnd.openxmlformats-officedocument.spreadsheetml.pivotCacheDefinition+xml"/>
  <Override PartName="/xl/pivotCache/pivotCacheRecords14.xml" ContentType="application/vnd.openxmlformats-officedocument.spreadsheetml.pivotCacheRecords+xml"/>
  <Override PartName="/xl/pivotCache/pivotCacheDefinition15.xml" ContentType="application/vnd.openxmlformats-officedocument.spreadsheetml.pivotCacheDefinition+xml"/>
  <Override PartName="/xl/pivotCache/pivotCacheRecords15.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tables/table1.xml" ContentType="application/vnd.openxmlformats-officedocument.spreadsheetml.table+xml"/>
  <Override PartName="/xl/pivotTables/pivotTable2.xml" ContentType="application/vnd.openxmlformats-officedocument.spreadsheetml.pivotTable+xml"/>
  <Override PartName="/xl/drawings/drawing3.xml" ContentType="application/vnd.openxmlformats-officedocument.drawing+xml"/>
  <Override PartName="/xl/tables/table2.xml" ContentType="application/vnd.openxmlformats-officedocument.spreadsheetml.table+xml"/>
  <Override PartName="/xl/pivotTables/pivotTable3.xml" ContentType="application/vnd.openxmlformats-officedocument.spreadsheetml.pivotTable+xml"/>
  <Override PartName="/xl/drawings/drawing4.xml" ContentType="application/vnd.openxmlformats-officedocument.drawing+xml"/>
  <Override PartName="/xl/tables/table3.xml" ContentType="application/vnd.openxmlformats-officedocument.spreadsheetml.table+xml"/>
  <Override PartName="/xl/pivotTables/pivotTable4.xml" ContentType="application/vnd.openxmlformats-officedocument.spreadsheetml.pivotTable+xml"/>
  <Override PartName="/xl/drawings/drawing5.xml" ContentType="application/vnd.openxmlformats-officedocument.drawing+xml"/>
  <Override PartName="/xl/tables/table4.xml" ContentType="application/vnd.openxmlformats-officedocument.spreadsheetml.table+xml"/>
  <Override PartName="/xl/pivotTables/pivotTable5.xml" ContentType="application/vnd.openxmlformats-officedocument.spreadsheetml.pivotTable+xml"/>
  <Override PartName="/xl/drawings/drawing6.xml" ContentType="application/vnd.openxmlformats-officedocument.drawing+xml"/>
  <Override PartName="/xl/tables/table5.xml" ContentType="application/vnd.openxmlformats-officedocument.spreadsheetml.table+xml"/>
  <Override PartName="/xl/drawings/drawing7.xml" ContentType="application/vnd.openxmlformats-officedocument.drawing+xml"/>
  <Override PartName="/xl/pivotTables/pivotTable6.xml" ContentType="application/vnd.openxmlformats-officedocument.spreadsheetml.pivotTable+xml"/>
  <Override PartName="/xl/drawings/drawing8.xml" ContentType="application/vnd.openxmlformats-officedocument.drawing+xml"/>
  <Override PartName="/xl/tables/table6.xml" ContentType="application/vnd.openxmlformats-officedocument.spreadsheetml.table+xml"/>
  <Override PartName="/xl/pivotTables/pivotTable7.xml" ContentType="application/vnd.openxmlformats-officedocument.spreadsheetml.pivotTable+xml"/>
  <Override PartName="/xl/drawings/drawing9.xml" ContentType="application/vnd.openxmlformats-officedocument.drawing+xml"/>
  <Override PartName="/xl/tables/table7.xml" ContentType="application/vnd.openxmlformats-officedocument.spreadsheetml.table+xml"/>
  <Override PartName="/xl/drawings/drawing10.xml" ContentType="application/vnd.openxmlformats-officedocument.drawing+xml"/>
  <Override PartName="/xl/drawings/drawing11.xml" ContentType="application/vnd.openxmlformats-officedocument.drawing+xml"/>
  <Override PartName="/xl/pivotTables/pivotTable8.xml" ContentType="application/vnd.openxmlformats-officedocument.spreadsheetml.pivotTable+xml"/>
  <Override PartName="/xl/drawings/drawing12.xml" ContentType="application/vnd.openxmlformats-officedocument.drawing+xml"/>
  <Override PartName="/xl/tables/table8.xml" ContentType="application/vnd.openxmlformats-officedocument.spreadsheetml.table+xml"/>
  <Override PartName="/xl/pivotTables/pivotTable9.xml" ContentType="application/vnd.openxmlformats-officedocument.spreadsheetml.pivotTable+xml"/>
  <Override PartName="/xl/drawings/drawing13.xml" ContentType="application/vnd.openxmlformats-officedocument.drawing+xml"/>
  <Override PartName="/xl/tables/table9.xml" ContentType="application/vnd.openxmlformats-officedocument.spreadsheetml.table+xml"/>
  <Override PartName="/xl/drawings/drawing14.xml" ContentType="application/vnd.openxmlformats-officedocument.drawing+xml"/>
  <Override PartName="/xl/pivotTables/pivotTable10.xml" ContentType="application/vnd.openxmlformats-officedocument.spreadsheetml.pivotTable+xml"/>
  <Override PartName="/xl/drawings/drawing15.xml" ContentType="application/vnd.openxmlformats-officedocument.drawing+xml"/>
  <Override PartName="/xl/tables/table10.xml" ContentType="application/vnd.openxmlformats-officedocument.spreadsheetml.table+xml"/>
  <Override PartName="/xl/pivotTables/pivotTable11.xml" ContentType="application/vnd.openxmlformats-officedocument.spreadsheetml.pivotTable+xml"/>
  <Override PartName="/xl/drawings/drawing16.xml" ContentType="application/vnd.openxmlformats-officedocument.drawing+xml"/>
  <Override PartName="/xl/tables/table11.xml" ContentType="application/vnd.openxmlformats-officedocument.spreadsheetml.table+xml"/>
  <Override PartName="/xl/pivotTables/pivotTable12.xml" ContentType="application/vnd.openxmlformats-officedocument.spreadsheetml.pivotTable+xml"/>
  <Override PartName="/xl/drawings/drawing17.xml" ContentType="application/vnd.openxmlformats-officedocument.drawing+xml"/>
  <Override PartName="/xl/tables/table12.xml" ContentType="application/vnd.openxmlformats-officedocument.spreadsheetml.table+xml"/>
  <Override PartName="/xl/pivotTables/pivotTable13.xml" ContentType="application/vnd.openxmlformats-officedocument.spreadsheetml.pivotTable+xml"/>
  <Override PartName="/xl/drawings/drawing18.xml" ContentType="application/vnd.openxmlformats-officedocument.drawing+xml"/>
  <Override PartName="/xl/tables/table13.xml" ContentType="application/vnd.openxmlformats-officedocument.spreadsheetml.table+xml"/>
  <Override PartName="/xl/pivotTables/pivotTable14.xml" ContentType="application/vnd.openxmlformats-officedocument.spreadsheetml.pivotTable+xml"/>
  <Override PartName="/xl/drawings/drawing19.xml" ContentType="application/vnd.openxmlformats-officedocument.drawing+xml"/>
  <Override PartName="/xl/tables/table14.xml" ContentType="application/vnd.openxmlformats-officedocument.spreadsheetml.table+xml"/>
  <Override PartName="/xl/drawings/drawing20.xml" ContentType="application/vnd.openxmlformats-officedocument.drawing+xml"/>
  <Override PartName="/xl/tables/table15.xml" ContentType="application/vnd.openxmlformats-officedocument.spreadsheetml.table+xml"/>
  <Override PartName="/xl/pivotTables/pivotTable15.xml" ContentType="application/vnd.openxmlformats-officedocument.spreadsheetml.pivotTable+xml"/>
  <Override PartName="/xl/drawings/drawing21.xml" ContentType="application/vnd.openxmlformats-officedocument.drawing+xml"/>
  <Override PartName="/xl/pivotTables/pivotTable16.xml" ContentType="application/vnd.openxmlformats-officedocument.spreadsheetml.pivotTable+xml"/>
  <Override PartName="/xl/drawings/drawing22.xml" ContentType="application/vnd.openxmlformats-officedocument.drawing+xml"/>
  <Override PartName="/xl/pivotTables/pivotTable17.xml" ContentType="application/vnd.openxmlformats-officedocument.spreadsheetml.pivotTable+xml"/>
  <Override PartName="/xl/drawings/drawing23.xml" ContentType="application/vnd.openxmlformats-officedocument.drawing+xml"/>
  <Override PartName="/xl/pivotTables/pivotTable18.xml" ContentType="application/vnd.openxmlformats-officedocument.spreadsheetml.pivotTable+xml"/>
  <Override PartName="/xl/drawings/drawing24.xml" ContentType="application/vnd.openxmlformats-officedocument.drawing+xml"/>
  <Override PartName="/xl/pivotTables/pivotTable19.xml" ContentType="application/vnd.openxmlformats-officedocument.spreadsheetml.pivotTable+xml"/>
  <Override PartName="/xl/drawings/drawing25.xml" ContentType="application/vnd.openxmlformats-officedocument.drawing+xml"/>
  <Override PartName="/xl/drawings/drawing2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filterPrivacy="1" codeName="ThisWorkbook"/>
  <bookViews>
    <workbookView xWindow="28680" yWindow="-120" windowWidth="29040" windowHeight="15990" activeTab="5"/>
  </bookViews>
  <sheets>
    <sheet name="Start" sheetId="2" r:id="rId1"/>
    <sheet name="1" sheetId="3" r:id="rId2"/>
    <sheet name="2" sheetId="4" r:id="rId3"/>
    <sheet name="3" sheetId="5" r:id="rId4"/>
    <sheet name="4" sheetId="6" r:id="rId5"/>
    <sheet name="5" sheetId="26" r:id="rId6"/>
    <sheet name="6" sheetId="7" r:id="rId7"/>
    <sheet name="7" sheetId="8" r:id="rId8"/>
    <sheet name="8" sheetId="9" r:id="rId9"/>
    <sheet name="9" sheetId="10" r:id="rId10"/>
    <sheet name="10" sheetId="11" r:id="rId11"/>
    <sheet name="11" sheetId="12" r:id="rId12"/>
    <sheet name="12" sheetId="13" r:id="rId13"/>
    <sheet name="13" sheetId="14" r:id="rId14"/>
    <sheet name="14" sheetId="15" r:id="rId15"/>
    <sheet name="15" sheetId="16" r:id="rId16"/>
    <sheet name="16" sheetId="17" r:id="rId17"/>
    <sheet name="17" sheetId="18" r:id="rId18"/>
    <sheet name="18" sheetId="19" r:id="rId19"/>
    <sheet name="19" sheetId="20" r:id="rId20"/>
    <sheet name="20" sheetId="21" r:id="rId21"/>
    <sheet name="21" sheetId="22" r:id="rId22"/>
    <sheet name="22" sheetId="27" r:id="rId23"/>
    <sheet name="23" sheetId="23" r:id="rId24"/>
    <sheet name="24" sheetId="24" r:id="rId25"/>
    <sheet name="Learn more" sheetId="25" r:id="rId26"/>
  </sheets>
  <definedNames>
    <definedName name="grp_Brace">"Another bracket line,Bracket line"</definedName>
    <definedName name="grp_MoreInfo">"Bottom line,Group 113"</definedName>
    <definedName name="grp_WalkMeArrows">"shp_ArrowCurved,txt_WalkMeArrows,shp_ArrowStraight"</definedName>
    <definedName name="grp_WalkMeBrace">"shp_BraceBottom,txt_WalkMeBrace,shp_BraceLeft"</definedName>
    <definedName name="SalesTax">0.0825</definedName>
  </definedNames>
  <calcPr calcId="191029"/>
  <pivotCaches>
    <pivotCache cacheId="0" r:id="rId27"/>
    <pivotCache cacheId="1" r:id="rId28"/>
    <pivotCache cacheId="2" r:id="rId29"/>
    <pivotCache cacheId="3" r:id="rId30"/>
    <pivotCache cacheId="4" r:id="rId31"/>
    <pivotCache cacheId="5" r:id="rId32"/>
    <pivotCache cacheId="6" r:id="rId33"/>
    <pivotCache cacheId="7" r:id="rId34"/>
    <pivotCache cacheId="8" r:id="rId35"/>
    <pivotCache cacheId="9" r:id="rId36"/>
    <pivotCache cacheId="10" r:id="rId37"/>
    <pivotCache cacheId="11" r:id="rId38"/>
    <pivotCache cacheId="12" r:id="rId39"/>
    <pivotCache cacheId="13" r:id="rId40"/>
    <pivotCache cacheId="14" r:id="rId4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H11" i="8" l="1"/>
  <c r="H10" i="8"/>
  <c r="H9" i="8"/>
  <c r="J7" i="23" l="1"/>
  <c r="J6" i="23"/>
  <c r="J5" i="23"/>
  <c r="J8" i="27"/>
  <c r="J7" i="27"/>
  <c r="J6" i="27"/>
  <c r="J5" i="27"/>
  <c r="J4" i="27"/>
  <c r="J7" i="22"/>
  <c r="J6" i="22"/>
  <c r="J5" i="22"/>
  <c r="J4" i="22"/>
  <c r="I10" i="24" l="1"/>
  <c r="K9" i="21"/>
  <c r="C12" i="18"/>
  <c r="B7" i="24" l="1"/>
  <c r="F6" i="17"/>
  <c r="F6" i="16"/>
  <c r="I8" i="15"/>
  <c r="I7" i="15"/>
  <c r="I6" i="15"/>
  <c r="I5" i="15"/>
</calcChain>
</file>

<file path=xl/sharedStrings.xml><?xml version="1.0" encoding="utf-8"?>
<sst xmlns="http://schemas.openxmlformats.org/spreadsheetml/2006/main" count="1088" uniqueCount="152">
  <si>
    <t>Get more out of PivotTables</t>
  </si>
  <si>
    <t>GOOD TO KNOW
Did you take the first tutorial? If not, go to File &gt; New and find Make your first PivotTable.</t>
  </si>
  <si>
    <t>This example shows how the row field...</t>
  </si>
  <si>
    <t>...breaks up the value field.</t>
  </si>
  <si>
    <t>Date</t>
  </si>
  <si>
    <t>Buyer</t>
  </si>
  <si>
    <t>Type</t>
  </si>
  <si>
    <t>Amount</t>
  </si>
  <si>
    <t>Sum of Amount</t>
  </si>
  <si>
    <t>Dad</t>
  </si>
  <si>
    <t>Fuel</t>
  </si>
  <si>
    <t>Mom</t>
  </si>
  <si>
    <t>Food</t>
  </si>
  <si>
    <t>Kelly</t>
  </si>
  <si>
    <t>Sports</t>
  </si>
  <si>
    <t>Books</t>
  </si>
  <si>
    <t>Grand Total</t>
  </si>
  <si>
    <t>Music</t>
  </si>
  <si>
    <t>Tickets</t>
  </si>
  <si>
    <t>But when you first look at a PivotTable, you might find that you need more answers out of it.</t>
  </si>
  <si>
    <t>What did each person spend money on?</t>
  </si>
  <si>
    <t>These are all good questions but for the moment, lets focus on just one question.</t>
  </si>
  <si>
    <t xml:space="preserve"> </t>
  </si>
  <si>
    <t xml:space="preserve">One thing to be aware of: If a column field adds a lot of columns to a PivotTable, it will make it very wide. </t>
  </si>
  <si>
    <t>Dining</t>
  </si>
  <si>
    <t>Electricity</t>
  </si>
  <si>
    <t>Medical</t>
  </si>
  <si>
    <t>Dental</t>
  </si>
  <si>
    <t>Taxes</t>
  </si>
  <si>
    <t>Auto insurance</t>
  </si>
  <si>
    <t>Parking</t>
  </si>
  <si>
    <t>Electronics</t>
  </si>
  <si>
    <t>Airfare</t>
  </si>
  <si>
    <t>Clothes</t>
  </si>
  <si>
    <t>Music lessons</t>
  </si>
  <si>
    <t>Club dues</t>
  </si>
  <si>
    <t>Health insurance</t>
  </si>
  <si>
    <t>Home insurance</t>
  </si>
  <si>
    <t>GOOD TO KNOW
A second row field makes a vertically-oriented PivotTable rather than horizontal. Some people find vertical PivotTables easer to read because they don't require as much scrolling from side-to-side.</t>
  </si>
  <si>
    <t>Row Labels</t>
  </si>
  <si>
    <t>EXCEL SPEAK
Sometimes people call a second row field a "secondary row field."</t>
  </si>
  <si>
    <t xml:space="preserve">If you need to simplify the PivotTable, you can collapse the data for the second row field "up" and out of the way. </t>
  </si>
  <si>
    <t>You can also collapse or expand the entire second row field, to simplify the PivotTable even more.</t>
  </si>
  <si>
    <t>You can also have more than one column field. They can also be collapsed or expanded.</t>
  </si>
  <si>
    <t>Column Labels</t>
  </si>
  <si>
    <t>Food Total</t>
  </si>
  <si>
    <t>Utilities</t>
  </si>
  <si>
    <t>Utilities Total</t>
  </si>
  <si>
    <t>Jan</t>
  </si>
  <si>
    <t>Feb</t>
  </si>
  <si>
    <t>Mar</t>
  </si>
  <si>
    <t>Apr</t>
  </si>
  <si>
    <t>Month</t>
  </si>
  <si>
    <t>Something to keep in mind: If you need more detail, it's possible to add many more row fields or columns fields. In this example, there are three row fields.</t>
  </si>
  <si>
    <t>Fall</t>
  </si>
  <si>
    <t>Insurance</t>
  </si>
  <si>
    <t>Rent</t>
  </si>
  <si>
    <t>Spring</t>
  </si>
  <si>
    <t>Summer</t>
  </si>
  <si>
    <t>Winter</t>
  </si>
  <si>
    <t>Season</t>
  </si>
  <si>
    <t>Sales rep</t>
  </si>
  <si>
    <t>Product</t>
  </si>
  <si>
    <t>Units sold</t>
  </si>
  <si>
    <t>Jenny</t>
  </si>
  <si>
    <t>Oranges</t>
  </si>
  <si>
    <t>George</t>
  </si>
  <si>
    <t>Grapefruit</t>
  </si>
  <si>
    <t>Dave</t>
  </si>
  <si>
    <t>Apples</t>
  </si>
  <si>
    <t>Bananas</t>
  </si>
  <si>
    <t>Beets</t>
  </si>
  <si>
    <t>Potatoes</t>
  </si>
  <si>
    <t>Lettuce</t>
  </si>
  <si>
    <t>Radishes</t>
  </si>
  <si>
    <t>Blueberries</t>
  </si>
  <si>
    <t>Strawberries</t>
  </si>
  <si>
    <t>Grapes</t>
  </si>
  <si>
    <t>Pumpkins</t>
  </si>
  <si>
    <t>Squash</t>
  </si>
  <si>
    <t>Zucchini</t>
  </si>
  <si>
    <t>Pick one:</t>
  </si>
  <si>
    <t>Sum of Units sold</t>
  </si>
  <si>
    <t>Good job. Aren't PivotTables great?</t>
  </si>
  <si>
    <t>But we encourage you to keep going! There's more to discover...</t>
  </si>
  <si>
    <t>More Pivot info
Discover more you can do by reading this helpful article on PivotTables.</t>
  </si>
  <si>
    <t xml:space="preserve">About refresh
Read this important article about how to refresh PivotTables. </t>
  </si>
  <si>
    <t>LinkedIn Learning
Video courses for all levels—from beginner to advanced. Take at your own pace.</t>
  </si>
  <si>
    <t>Community
Connect with other Excel fans. They can help you, and you can help them.</t>
  </si>
  <si>
    <t>Give us feedback on this tutorial</t>
  </si>
  <si>
    <t xml:space="preserve">In the first tutorial, we introduced you to the concept of a PivotTable. We also explained how a row field can be used as a condition that breaks up a value field.   </t>
  </si>
  <si>
    <t>A simple PivotTable gives you an overall summary of your data,
but sometimes you need detailed answers to specific questions.
That's where adding more column fields and row fields can help.</t>
  </si>
  <si>
    <t>Welcome
Instructions for screen readers: Get more out of PivotTables. A simple PivotTable gives you an overall summary of your data, but sometimes you need detailed answers to specific questions. That's where adding more column fields and row fields can help. 
The instructions will indicate which cells to navigate to for use of a feature, or further reading.
To start, press CTRL+PAGE DOWN.</t>
  </si>
  <si>
    <t>Gifts</t>
  </si>
  <si>
    <t>To continue with this tutorial, press CTRL+PAGE DOWN. To go to the previous sheet, press CTRL+PAGE UP.</t>
  </si>
  <si>
    <t>Cells H10 through I14 contain a PivotTable which summarizes the data in cells B8 to E16. The PivotTable has two columns: Buyer and Sum of Amount. The Buyer column contains the values Dad, Mom, Kelly, and Grand Total; The Sum of Amount column contains the values $220, $270, $810, and $1,300. The Buyer column is made up of a Row field, and the Sum of Amount column is made up of a Value field.</t>
  </si>
  <si>
    <t xml:space="preserve">We answered that question by adding a column field for Type. As a result, the PivotTable now has five new columns that show us the type of purchase made by each person. </t>
  </si>
  <si>
    <t>When you first look at a PivotTable, you might have questions like, "When did these purchases happen?", "What did each person spend money on?", "What did Mom buy that was so expensive?".</t>
  </si>
  <si>
    <t xml:space="preserve">For reference, cells F11 to G15 show the same two column PivotTable as before. The Buyer column is a Row field, and contains the values Dad, Mom, Kelly, and Grand Total; The Sum of Amount column is the Value field, and contains the values $220, $270, $810, and $1,300. </t>
  </si>
  <si>
    <t xml:space="preserve">In this example, cells F11 to G15 show the same two column PivotTable as before. The Buyer column is a Row field, and contains the values Dad, Mom, Kelly, and Grand Total; The Sum of Amount column is the Value field, and contains the values $220, $270, $810, and $1,300. </t>
  </si>
  <si>
    <t>The last question we asked was "What did each person spend money on?"</t>
  </si>
  <si>
    <t>Our new PivotTable now goes from cell C10 to I15, with columns for Buyer, Food, Music, Sports, Tickets, Gifts, and Grand Total. The Buyer and Grand Total are the same as before, and the new detail columns are in-between them.</t>
  </si>
  <si>
    <t>If the PivotTable is hard to understand, try this: Read from the left, then from the top, and then down. In example below, Dad is in cell C12, Food for $125 in cell D12, Gifts for $95 in cell E12, and a Grand Total of $220 in cell I12. Rows 13 and 14 show the details for Kelly and Mom, and row 15 shows the Grand Total.</t>
  </si>
  <si>
    <t>A PivotTable Fields List image shows an arrow cursor dragging the Type field to the Columns area.</t>
  </si>
  <si>
    <t>Don't do this now but in a couple steps, you'll work with a PivotTable. The first thing you'll do is create detail in the Columns field. You'll do that by placing the Type field in the Columns field area.</t>
  </si>
  <si>
    <t>Let's review the PivotTable you just made, but this time we've added some special colors to differentiate the row, column, and value fields.</t>
  </si>
  <si>
    <t>The row field goes from cell C10 to C13, and is shaded in yellow.</t>
  </si>
  <si>
    <t>The column field goes from cell D9 to H10, and is shaded in orange.</t>
  </si>
  <si>
    <t>The value field goes from cell D11 to H13, and is shaded in blue.</t>
  </si>
  <si>
    <t>Think of it that way when using the fields list. The row field is on the left, and the column field at the top. Each of these provide a condition to the value field, which sums them up.</t>
  </si>
  <si>
    <t>A conceptual image shows the PivotTable Field List displayed with the Row field on the bottom-left in yellow, the Column field on the top-right in orange, and the Value field on the bottom-right in blue.</t>
  </si>
  <si>
    <t>A conceptual image shows a 4-section rectangular area with the Row field on the bottom-left in yellow, the Column field on the top-right in orange, and the Value field on the bottom-right in blue.</t>
  </si>
  <si>
    <t>In this example, the PivotTable now ranges from cell C10 to X15, as the column field added 20 new columns. That's a lot of columns! This will cause people to scroll a lot...</t>
  </si>
  <si>
    <t>There is an alternative to extra-wide PivotTables: you can use a second row field instead. A second row field will appear indented under the first row field.</t>
  </si>
  <si>
    <t>In this example, there is a PivotTable from cell D8 to E32. It shows Dad, Kelly, and Mom as first row fields in column D. Then the spending types are beneath them as second row fields with items such as Sports, Airfare, Dining, etc.</t>
  </si>
  <si>
    <t>On the next sheet you'll add a second row field. And you'll do that by placing the Type field under the Buyer field in the Rows field.</t>
  </si>
  <si>
    <t>A PivotTable Fields List image shows an arrow cursor dragging the Type field to the Rows area.</t>
  </si>
  <si>
    <t>The PivotTable for this example is in cells F7 to G31. Select cell F8 to choose the first row field for Dad. Next, press Alt+JT &gt; E to expand the second field, or X to collapse it.</t>
  </si>
  <si>
    <t>Here's the Key</t>
  </si>
  <si>
    <t>Select the PivotTable data range from cells F7 to G31, then go to ALT+JT &gt; P to collapse the entire group. Converseley, ALT+JT &gt; X will expand the entire group.</t>
  </si>
  <si>
    <t>The PivotTable for this example goes from cells B13 to M19. In this case, we have a Type category in the Columns section, which include items for Food and Utilities.</t>
  </si>
  <si>
    <t>TRY THIS
Select Food in cell C14 and go to ALT+JT &gt; P to collapse the entire field. ALT+JT &gt; X will expand it.</t>
  </si>
  <si>
    <t>The PivotTable for this example ranges from cell D8 to E29, and has fields for Season, Buyer, and Type in column D, with Sum of Amount in column E.</t>
  </si>
  <si>
    <t xml:space="preserve">Ready for more practice? Take a chance to review the data below in cells B7 to E55. When you're ready, go to the next sheet and you'll practice what you've learned so far. </t>
  </si>
  <si>
    <t xml:space="preserve">There's no need to review all the rows of data. Just review field names in the row 7. You'll be working with these on the next sheet. </t>
  </si>
  <si>
    <t>Dave Total</t>
  </si>
  <si>
    <t>George Total</t>
  </si>
  <si>
    <t>Jenny Total</t>
  </si>
  <si>
    <t>Give feedback on this tutorial</t>
  </si>
  <si>
    <t>Go back to top by pressing CTRL+HOME. To start the tour, press CTRL+PAGE DOWN.</t>
  </si>
  <si>
    <t>Here's another way to think about it: The row field is on the left, and the column field at the top. Each of these provide a condition to the value field, which sums them up.</t>
  </si>
  <si>
    <t xml:space="preserve">3. Press your arrow keys to move to the Type field. Press SPACEBAR to add the Type field to the Rows area. </t>
  </si>
  <si>
    <t>1. The PivotTable Area for this example is in cells B13 through C17. Navigate to any of those cells.</t>
  </si>
  <si>
    <t>2. Press ALT+JT, L to launch the PivotTable Fields List. Focus will default to the Search text box: "Type words to search for" edit. Do not type anything, instead, tab once. NOTE: if the Field List doesn't launch, press ALT+JT, L again.</t>
  </si>
  <si>
    <t xml:space="preserve">3. Press your arrow keys to select the Type field. Once selected, press SPACEBAR to add the Type field to the Rows area. </t>
  </si>
  <si>
    <t xml:space="preserve">4. Press ESC key to exit PivotTable Fields pane. </t>
  </si>
  <si>
    <t xml:space="preserve">1. The PivotTable Area for this example is in cells B13 through C17. Navigate to any of those cells. </t>
  </si>
  <si>
    <t xml:space="preserve">4. Determine who sold the most items in the fall, then make a selection in cell K8. </t>
  </si>
  <si>
    <t xml:space="preserve">3. Press your arrow keys to move to the Sales Rep field. Press SPACEBAR to add the Sales Rep field to the Rows area. If you want to display Sales Rep details in the Columns area, use your Tab keys to move to the Sales Rep field in the Row section, then press SPACEBAR, and select "Move to Column Labels". Press ESC key to exit PivotTable Fields pane. </t>
  </si>
  <si>
    <t xml:space="preserve">1. The PivotTable Area for this example is in cells B12 through C17. Navigate to any of those cells. 
</t>
  </si>
  <si>
    <t xml:space="preserve">3. Use your arrow and SPACEBAR keys to expand the example into a vertical PivotTable that has seasons on the left, and the sales reps indented under the seasons.Press ESC key to exit PivotTable Fields pane. </t>
  </si>
  <si>
    <t xml:space="preserve">1. Click cell B14 to activate the PivotTable named "Sum of Units sold".
</t>
  </si>
  <si>
    <t>3. Use your arrow and SPACEBAR keys to modify the example so that it shows each product in its own row, and each season in its own column.</t>
  </si>
  <si>
    <t>1. Click cell B14 to activate the PivotTable named "Sum of Units sold".</t>
  </si>
  <si>
    <t>3. Use your Tab, arrow and SPACEBAR keys to modify the example so that it shows Sales Reps on the left with Seasons indented beneath them.</t>
  </si>
  <si>
    <t xml:space="preserve">1. Click cell B13 to activate the PivotTable named "Sum of Units sold".
</t>
  </si>
  <si>
    <t>4. Select cell I9 and pick how many grapefruit Dave sold in winter.</t>
  </si>
  <si>
    <t>3. Use your Tab, arrow and SPACEBAR keys to modify the example so that each Sales Reps has their own column fields with Seasons on the left, and Products indented beneath them.</t>
  </si>
  <si>
    <t>1. Click cell B13 to activate the PivotTable named "Sum of Units sold".</t>
  </si>
  <si>
    <t xml:space="preserve">EXPERT TIP
Just because you can add a bunch of fields, doesn't mean you should. In this example, it works fine. But sometimes too many fields, with all of their indentations, can make the PivotTable too complicated for other people to understand. </t>
  </si>
  <si>
    <t>2. Press ALT+JT, L to launch the PivotTable Fields List. Focus will default to the Search text box: "Search" edit</t>
  </si>
  <si>
    <t>4. Press Tab to select the Type field. Press Enter, then press arrow keys to select Move to Column Labels and press Enter to add the Type field to Columns area. Press SHIFT+F6 to exit the PivotTable Fields pane.</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</si>
</sst>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5" formatCode="&quot;$&quot;#,##0_);\(&quot;$&quot;#,##0\)"/>
    <numFmt numFmtId="6" formatCode="&quot;$&quot;#,##0_);[Red]\(&quot;$&quot;#,##0\)"/>
    <numFmt numFmtId="44" formatCode="_(&quot;$&quot;* #,##0.00_);_(&quot;$&quot;* \(#,##0.00\);_(&quot;$&quot;* &quot;-&quot;??_);_(@_)"/>
    <numFmt numFmtId="164" formatCode="dd\-mmm"/>
    <numFmt numFmtId="165" formatCode="[$-409]d\-mmm;@"/>
    <numFmt numFmtId="166" formatCode="&quot;$&quot;#,##0"/>
  </numFmts>
  <fonts count="21" x14ac:knownFonts="1">
    <font>
      <sz val="11"/>
      <color theme="1"/>
      <name val="Calibri"/>
      <family val="2"/>
    </font>
    <font>
      <sz val="11"/>
      <color theme="1"/>
      <name val="Calibri"/>
      <family val="2"/>
      <scheme val="minor"/>
    </font>
    <font>
      <sz val="11"/>
      <color theme="1"/>
      <name val="Calibri"/>
      <family val="2"/>
    </font>
    <font>
      <sz val="11"/>
      <color rgb="FF0B744D"/>
      <name val="Calibri"/>
      <family val="2"/>
      <scheme val="minor"/>
    </font>
    <font>
      <sz val="11"/>
      <color theme="1"/>
      <name val="Calibri"/>
      <family val="2"/>
      <scheme val="minor"/>
    </font>
    <font>
      <sz val="72"/>
      <color theme="0"/>
      <name val="Calibri Light"/>
      <family val="2"/>
      <scheme val="major"/>
    </font>
    <font>
      <sz val="44"/>
      <color theme="0"/>
      <name val="Segoe UI"/>
      <family val="2"/>
    </font>
    <font>
      <sz val="17"/>
      <color theme="0"/>
      <name val="Calibri"/>
      <family val="2"/>
      <scheme val="minor"/>
    </font>
    <font>
      <sz val="11"/>
      <color theme="0"/>
      <name val="Calibri"/>
      <family val="2"/>
      <scheme val="minor"/>
    </font>
    <font>
      <b/>
      <sz val="11"/>
      <color theme="0"/>
      <name val="Calibri"/>
      <family val="2"/>
      <scheme val="minor"/>
    </font>
    <font>
      <sz val="11"/>
      <name val="Calibri"/>
      <family val="2"/>
      <scheme val="minor"/>
    </font>
    <font>
      <sz val="11"/>
      <color theme="1"/>
      <name val="Calibri Light"/>
      <family val="2"/>
    </font>
    <font>
      <b/>
      <i/>
      <sz val="14"/>
      <color rgb="FF0070C0"/>
      <name val="Calibri"/>
      <family val="2"/>
    </font>
    <font>
      <sz val="12"/>
      <color theme="1"/>
      <name val="Segoe UI"/>
      <family val="2"/>
    </font>
    <font>
      <sz val="24"/>
      <color theme="1"/>
      <name val="Segoe UI"/>
      <family val="2"/>
    </font>
    <font>
      <b/>
      <sz val="11"/>
      <color theme="1"/>
      <name val="Calibri"/>
      <family val="2"/>
      <scheme val="minor"/>
    </font>
    <font>
      <b/>
      <sz val="11"/>
      <color theme="1"/>
      <name val="Calibri"/>
      <family val="2"/>
    </font>
    <font>
      <sz val="11"/>
      <color theme="0"/>
      <name val="Calibri"/>
      <family val="2"/>
    </font>
    <font>
      <sz val="11"/>
      <color theme="0" tint="-4.9989318521683403E-2"/>
      <name val="Calibri"/>
      <family val="2"/>
    </font>
    <font>
      <u/>
      <sz val="11"/>
      <color theme="10"/>
      <name val="Calibri"/>
      <family val="2"/>
    </font>
    <font>
      <u/>
      <sz val="11"/>
      <color theme="0"/>
      <name val="Calibri"/>
      <family val="2"/>
    </font>
  </fonts>
  <fills count="10">
    <fill>
      <patternFill patternType="none"/>
    </fill>
    <fill>
      <patternFill patternType="gray125"/>
    </fill>
    <fill>
      <patternFill patternType="solid">
        <fgColor rgb="FF217346"/>
        <bgColor indexed="64"/>
      </patternFill>
    </fill>
    <fill>
      <patternFill patternType="solid">
        <fgColor theme="9"/>
        <bgColor theme="9"/>
      </patternFill>
    </fill>
    <fill>
      <patternFill patternType="solid">
        <fgColor theme="9" tint="0.79998168889431442"/>
        <bgColor theme="9" tint="0.79998168889431442"/>
      </patternFill>
    </fill>
    <fill>
      <patternFill patternType="solid">
        <fgColor theme="0"/>
        <bgColor indexed="64"/>
      </patternFill>
    </fill>
    <fill>
      <patternFill patternType="solid">
        <fgColor rgb="FFF4B183"/>
        <bgColor indexed="64"/>
      </patternFill>
    </fill>
    <fill>
      <patternFill patternType="solid">
        <fgColor rgb="FFFFE699"/>
        <bgColor indexed="64"/>
      </patternFill>
    </fill>
    <fill>
      <patternFill patternType="solid">
        <fgColor rgb="FFB4C6E7"/>
        <bgColor indexed="64"/>
      </patternFill>
    </fill>
    <fill>
      <patternFill patternType="solid">
        <fgColor rgb="FFFFFF99"/>
        <bgColor indexed="64"/>
      </patternFill>
    </fill>
  </fills>
  <borders count="5">
    <border>
      <left/>
      <right/>
      <top/>
      <bottom/>
      <diagonal/>
    </border>
    <border>
      <left style="thin">
        <color rgb="FFB2B2B2"/>
      </left>
      <right style="thin">
        <color rgb="FFB2B2B2"/>
      </right>
      <top style="thin">
        <color rgb="FFB2B2B2"/>
      </top>
      <bottom style="thin">
        <color rgb="FFB2B2B2"/>
      </bottom>
      <diagonal/>
    </border>
    <border>
      <left/>
      <right/>
      <top style="thin">
        <color theme="9" tint="0.39997558519241921"/>
      </top>
      <bottom/>
      <diagonal/>
    </border>
    <border>
      <left style="thin">
        <color rgb="FFA9D08E"/>
      </left>
      <right/>
      <top style="thin">
        <color theme="9" tint="0.39997558519241921"/>
      </top>
      <bottom style="thin">
        <color theme="9" tint="0.39997558519241921"/>
      </bottom>
      <diagonal/>
    </border>
    <border>
      <left/>
      <right/>
      <top/>
      <bottom style="thin">
        <color theme="4" tint="0.39997558519241921"/>
      </bottom>
      <diagonal/>
    </border>
  </borders>
  <cellStyleXfs count="13">
    <xf numFmtId="0" fontId="0" fillId="0" borderId="0"/>
    <xf numFmtId="0" fontId="3" fillId="0" borderId="0" applyFill="0" applyBorder="0">
      <alignment wrapText="1"/>
    </xf>
    <xf numFmtId="0" fontId="2" fillId="0" borderId="0"/>
    <xf numFmtId="0" fontId="5" fillId="2" borderId="0" applyNumberFormat="0" applyBorder="0" applyProtection="0">
      <alignment horizontal="left" indent="1"/>
    </xf>
    <xf numFmtId="0" fontId="7" fillId="2" borderId="0" applyNumberFormat="0" applyProtection="0">
      <alignment horizontal="left" wrapText="1" indent="4"/>
    </xf>
    <xf numFmtId="0" fontId="3" fillId="2" borderId="0" applyNumberFormat="0" applyProtection="0">
      <alignment horizontal="left" wrapText="1" indent="4"/>
    </xf>
    <xf numFmtId="0" fontId="4" fillId="0" borderId="0"/>
    <xf numFmtId="164" fontId="10" fillId="0" borderId="0" applyFont="0" applyFill="0" applyBorder="0" applyAlignment="0">
      <alignment horizontal="left"/>
    </xf>
    <xf numFmtId="5" fontId="2" fillId="0" borderId="0" applyFont="0" applyFill="0" applyBorder="0" applyAlignment="0" applyProtection="0"/>
    <xf numFmtId="14" fontId="4" fillId="0" borderId="0" applyFont="0" applyFill="0" applyBorder="0" applyAlignment="0"/>
    <xf numFmtId="0" fontId="4" fillId="9" borderId="1"/>
    <xf numFmtId="0" fontId="8" fillId="0" borderId="0"/>
    <xf numFmtId="0" fontId="19" fillId="0" borderId="0" applyNumberFormat="0" applyFill="0" applyBorder="0" applyAlignment="0" applyProtection="0"/>
  </cellStyleXfs>
  <cellXfs count="68">
    <xf numFmtId="0" fontId="0" fillId="0" borderId="0" xfId="0"/>
    <xf numFmtId="0" fontId="3" fillId="2" borderId="0" xfId="1" applyFont="1" applyFill="1">
      <alignment wrapText="1"/>
    </xf>
    <xf numFmtId="0" fontId="4" fillId="0" borderId="0" xfId="2" applyFont="1"/>
    <xf numFmtId="0" fontId="6" fillId="2" borderId="0" xfId="3" applyFont="1">
      <alignment horizontal="left" indent="1"/>
    </xf>
    <xf numFmtId="0" fontId="7" fillId="2" borderId="0" xfId="4" applyFont="1">
      <alignment horizontal="left" wrapText="1" indent="4"/>
    </xf>
    <xf numFmtId="0" fontId="3" fillId="2" borderId="0" xfId="5" applyFont="1">
      <alignment horizontal="left" wrapText="1" indent="4"/>
    </xf>
    <xf numFmtId="0" fontId="8" fillId="0" borderId="0" xfId="6" applyFont="1"/>
    <xf numFmtId="0" fontId="4" fillId="0" borderId="0" xfId="6"/>
    <xf numFmtId="0" fontId="9" fillId="3" borderId="0" xfId="6" applyFont="1" applyFill="1" applyBorder="1"/>
    <xf numFmtId="164" fontId="4" fillId="4" borderId="2" xfId="7" applyFont="1" applyFill="1" applyBorder="1" applyAlignment="1">
      <alignment horizontal="left"/>
    </xf>
    <xf numFmtId="0" fontId="4" fillId="4" borderId="2" xfId="6" applyFont="1" applyFill="1" applyBorder="1"/>
    <xf numFmtId="5" fontId="0" fillId="4" borderId="2" xfId="8" applyFont="1" applyFill="1" applyBorder="1"/>
    <xf numFmtId="164" fontId="4" fillId="0" borderId="2" xfId="7" applyFont="1" applyBorder="1" applyAlignment="1">
      <alignment horizontal="left"/>
    </xf>
    <xf numFmtId="0" fontId="4" fillId="0" borderId="2" xfId="6" applyFont="1" applyBorder="1"/>
    <xf numFmtId="5" fontId="0" fillId="0" borderId="2" xfId="8" applyFont="1" applyBorder="1"/>
    <xf numFmtId="0" fontId="11" fillId="0" borderId="0" xfId="6" applyFont="1" applyAlignment="1">
      <alignment horizontal="center" vertical="center"/>
    </xf>
    <xf numFmtId="0" fontId="12" fillId="0" borderId="0" xfId="6" applyFont="1"/>
    <xf numFmtId="0" fontId="4" fillId="0" borderId="0" xfId="6" applyBorder="1"/>
    <xf numFmtId="165" fontId="4" fillId="4" borderId="2" xfId="9" applyNumberFormat="1" applyFont="1" applyFill="1" applyBorder="1" applyAlignment="1">
      <alignment horizontal="left"/>
    </xf>
    <xf numFmtId="165" fontId="0" fillId="4" borderId="2" xfId="9" applyNumberFormat="1" applyFont="1" applyFill="1" applyBorder="1" applyAlignment="1">
      <alignment horizontal="left"/>
    </xf>
    <xf numFmtId="6" fontId="4" fillId="0" borderId="0" xfId="6" applyNumberFormat="1"/>
    <xf numFmtId="0" fontId="4" fillId="0" borderId="0" xfId="6" applyAlignment="1">
      <alignment horizontal="right"/>
    </xf>
    <xf numFmtId="0" fontId="4" fillId="9" borderId="1" xfId="10" applyFont="1"/>
    <xf numFmtId="0" fontId="4" fillId="0" borderId="0" xfId="6" applyAlignment="1">
      <alignment horizontal="left" vertical="top"/>
    </xf>
    <xf numFmtId="0" fontId="2" fillId="0" borderId="0" xfId="2"/>
    <xf numFmtId="0" fontId="13" fillId="0" borderId="0" xfId="2" applyFont="1"/>
    <xf numFmtId="0" fontId="14" fillId="0" borderId="0" xfId="2" applyFont="1"/>
    <xf numFmtId="0" fontId="14" fillId="0" borderId="0" xfId="2" applyFont="1" applyAlignment="1">
      <alignment vertical="center"/>
    </xf>
    <xf numFmtId="0" fontId="0" fillId="0" borderId="0" xfId="0" pivotButton="1"/>
    <xf numFmtId="0" fontId="0" fillId="0" borderId="0" xfId="0" applyAlignment="1">
      <alignment horizontal="left"/>
    </xf>
    <xf numFmtId="5" fontId="0" fillId="0" borderId="0" xfId="0" applyNumberFormat="1"/>
    <xf numFmtId="0" fontId="0" fillId="0" borderId="0" xfId="0" applyAlignment="1">
      <alignment horizontal="left" indent="1"/>
    </xf>
    <xf numFmtId="38" fontId="0" fillId="0" borderId="0" xfId="0" applyNumberFormat="1"/>
    <xf numFmtId="0" fontId="15" fillId="6" borderId="0" xfId="6" applyNumberFormat="1" applyFont="1" applyFill="1" applyBorder="1" applyAlignment="1"/>
    <xf numFmtId="6" fontId="0" fillId="0" borderId="0" xfId="0" applyNumberFormat="1"/>
    <xf numFmtId="3" fontId="0" fillId="0" borderId="0" xfId="0" applyNumberFormat="1"/>
    <xf numFmtId="166" fontId="0" fillId="0" borderId="0" xfId="0" applyNumberFormat="1"/>
    <xf numFmtId="0" fontId="1" fillId="4" borderId="2" xfId="6" applyFont="1" applyFill="1" applyBorder="1"/>
    <xf numFmtId="0" fontId="1" fillId="0" borderId="2" xfId="6" applyFont="1" applyBorder="1"/>
    <xf numFmtId="164" fontId="1" fillId="0" borderId="3" xfId="7" applyNumberFormat="1" applyFont="1" applyBorder="1" applyAlignment="1">
      <alignment horizontal="left"/>
    </xf>
    <xf numFmtId="164" fontId="1" fillId="4" borderId="3" xfId="7" applyNumberFormat="1" applyFont="1" applyFill="1" applyBorder="1" applyAlignment="1">
      <alignment horizontal="left"/>
    </xf>
    <xf numFmtId="0" fontId="0" fillId="7" borderId="0" xfId="0" applyFill="1"/>
    <xf numFmtId="5" fontId="0" fillId="8" borderId="0" xfId="0" applyNumberFormat="1" applyFill="1"/>
    <xf numFmtId="0" fontId="17" fillId="5" borderId="0" xfId="0" applyFont="1" applyFill="1"/>
    <xf numFmtId="0" fontId="18" fillId="5" borderId="0" xfId="0" applyFont="1" applyFill="1"/>
    <xf numFmtId="166" fontId="18" fillId="0" borderId="0" xfId="0" applyNumberFormat="1" applyFont="1"/>
    <xf numFmtId="0" fontId="0" fillId="0" borderId="0" xfId="0" applyAlignment="1">
      <alignment horizontal="left" indent="2"/>
    </xf>
    <xf numFmtId="0" fontId="8" fillId="0" borderId="0" xfId="11"/>
    <xf numFmtId="0" fontId="8" fillId="0" borderId="0" xfId="11" applyFont="1"/>
    <xf numFmtId="0" fontId="8" fillId="0" borderId="0" xfId="6" applyFont="1" applyAlignment="1">
      <alignment wrapText="1"/>
    </xf>
    <xf numFmtId="0" fontId="8" fillId="0" borderId="0" xfId="6" applyFont="1" applyAlignment="1"/>
    <xf numFmtId="0" fontId="4" fillId="0" borderId="0" xfId="6" applyAlignment="1"/>
    <xf numFmtId="0" fontId="12" fillId="0" borderId="0" xfId="6" applyFont="1" applyAlignment="1"/>
    <xf numFmtId="0" fontId="0" fillId="0" borderId="0" xfId="0" pivotButton="1" applyAlignment="1"/>
    <xf numFmtId="0" fontId="0" fillId="0" borderId="0" xfId="0" applyAlignment="1"/>
    <xf numFmtId="5" fontId="0" fillId="0" borderId="0" xfId="0" applyNumberFormat="1" applyAlignment="1"/>
    <xf numFmtId="0" fontId="9" fillId="3" borderId="0" xfId="6" applyFont="1" applyFill="1" applyBorder="1" applyAlignment="1"/>
    <xf numFmtId="0" fontId="4" fillId="4" borderId="2" xfId="6" applyFont="1" applyFill="1" applyBorder="1" applyAlignment="1"/>
    <xf numFmtId="5" fontId="0" fillId="4" borderId="2" xfId="8" applyFont="1" applyFill="1" applyBorder="1" applyAlignment="1"/>
    <xf numFmtId="0" fontId="19" fillId="0" borderId="0" xfId="12"/>
    <xf numFmtId="0" fontId="20" fillId="0" borderId="0" xfId="12" applyFont="1"/>
    <xf numFmtId="164" fontId="19" fillId="0" borderId="3" xfId="12" applyNumberFormat="1" applyBorder="1" applyAlignment="1">
      <alignment horizontal="left"/>
    </xf>
    <xf numFmtId="0" fontId="8" fillId="0" borderId="0" xfId="11" applyAlignment="1">
      <alignment wrapText="1"/>
    </xf>
    <xf numFmtId="0" fontId="8" fillId="0" borderId="0" xfId="11" applyAlignment="1"/>
    <xf numFmtId="0" fontId="16" fillId="6" borderId="4" xfId="0" applyFont="1" applyFill="1" applyBorder="1"/>
    <xf numFmtId="0" fontId="0" fillId="5" borderId="0" xfId="0" applyFill="1"/>
    <xf numFmtId="0" fontId="18" fillId="5" borderId="0" xfId="0" applyNumberFormat="1" applyFont="1" applyFill="1"/>
    <xf numFmtId="166" fontId="18" fillId="5" borderId="0" xfId="0" applyNumberFormat="1" applyFont="1" applyFill="1"/>
  </cellXfs>
  <cellStyles count="13">
    <cellStyle name="Currency 2" xfId="8"/>
    <cellStyle name="Date" xfId="9"/>
    <cellStyle name="Date 2" xfId="7"/>
    <cellStyle name="Heading 1 2" xfId="4"/>
    <cellStyle name="Heading 2 2" xfId="5"/>
    <cellStyle name="Hyperlink" xfId="12" builtinId="8"/>
    <cellStyle name="Normal" xfId="0" builtinId="0"/>
    <cellStyle name="Normal 2" xfId="6"/>
    <cellStyle name="Normal 5 2" xfId="2"/>
    <cellStyle name="Start Text" xfId="1"/>
    <cellStyle name="Title 2" xfId="3"/>
    <cellStyle name="YellowCell" xfId="10"/>
    <cellStyle name="z A Column text" xfId="11"/>
  </cellStyles>
  <dxfs count="111">
    <dxf>
      <numFmt numFmtId="3" formatCode="#,##0"/>
    </dxf>
    <dxf>
      <numFmt numFmtId="3" formatCode="#,##0"/>
    </dxf>
    <dxf>
      <numFmt numFmtId="10" formatCode="&quot;$&quot;#,##0_);[Red]\(&quot;$&quot;#,##0\)"/>
    </dxf>
    <dxf>
      <numFmt numFmtId="9" formatCode="&quot;$&quot;#,##0_);\(&quot;$&quot;#,##0\)"/>
    </dxf>
    <dxf>
      <numFmt numFmtId="166" formatCode="&quot;$&quot;#,##0"/>
    </dxf>
    <dxf>
      <numFmt numFmtId="10" formatCode="&quot;$&quot;#,##0_);[Red]\(&quot;$&quot;#,##0\)"/>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165" formatCode="[$-409]d\-mmm;@"/>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scheme val="minor"/>
      </font>
      <fill>
        <patternFill patternType="solid">
          <fgColor theme="9"/>
          <bgColor theme="9"/>
        </patternFill>
      </fill>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165" formatCode="[$-409]d\-mmm;@"/>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scheme val="minor"/>
      </font>
      <fill>
        <patternFill patternType="solid">
          <fgColor theme="9"/>
          <bgColor theme="9"/>
        </patternFill>
      </fill>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alignment vertical="bottom" textRotation="0" wrapText="0" justifyLastLine="0" shrinkToFit="0" readingOrder="0"/>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alignment vertical="bottom" textRotation="0" wrapText="0" justifyLastLine="0" shrinkToFit="0" readingOrder="0"/>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alignment vertical="bottom" textRotation="0" wrapText="0" justifyLastLine="0" shrinkToFit="0" readingOrder="0"/>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165" formatCode="[$-409]d\-mmm;@"/>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alignment vertical="bottom" textRotation="0" wrapText="0" justifyLastLine="0" shrinkToFit="0" readingOrder="0"/>
    </dxf>
    <dxf>
      <font>
        <b/>
        <i val="0"/>
        <strike val="0"/>
        <condense val="0"/>
        <extend val="0"/>
        <outline val="0"/>
        <shadow val="0"/>
        <u val="none"/>
        <vertAlign val="baseline"/>
        <sz val="11"/>
        <color theme="0"/>
        <name val="Calibri"/>
        <scheme val="minor"/>
      </font>
      <fill>
        <patternFill patternType="solid">
          <fgColor theme="9"/>
          <bgColor theme="9"/>
        </patternFill>
      </fill>
      <alignment vertical="bottom" textRotation="0" wrapText="0" justifyLastLine="0" shrinkToFit="0" readingOrder="0"/>
    </dxf>
    <dxf>
      <alignment wrapText="0"/>
    </dxf>
    <dxf>
      <alignment wrapText="0"/>
    </dxf>
    <dxf>
      <alignment wrapText="0"/>
    </dxf>
    <dxf>
      <alignment wrapText="0"/>
    </dxf>
    <dxf>
      <alignment wrapText="0"/>
    </dxf>
    <dxf>
      <alignment wrapText="0"/>
    </dxf>
    <dxf>
      <numFmt numFmtId="9" formatCode="&quot;$&quot;#,##0_);\(&quot;$&quot;#,##0\)"/>
    </dxf>
    <dxf>
      <numFmt numFmtId="166" formatCode="&quot;$&quot;#,##0"/>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165" formatCode="[$-409]d\-mmm;@"/>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scheme val="minor"/>
      </font>
      <fill>
        <patternFill patternType="solid">
          <fgColor theme="9"/>
          <bgColor theme="9"/>
        </patternFill>
      </fill>
    </dxf>
    <dxf>
      <numFmt numFmtId="9" formatCode="&quot;$&quot;#,##0_);\(&quot;$&quot;#,##0\)"/>
    </dxf>
    <dxf>
      <numFmt numFmtId="166" formatCode="&quot;$&quot;#,##0"/>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165" formatCode="[$-409]d\-mmm;@"/>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scheme val="minor"/>
      </font>
      <fill>
        <patternFill patternType="solid">
          <fgColor theme="9"/>
          <bgColor theme="9"/>
        </patternFill>
      </fill>
    </dxf>
    <dxf>
      <numFmt numFmtId="9" formatCode="&quot;$&quot;#,##0_);\(&quot;$&quot;#,##0\)"/>
    </dxf>
    <dxf>
      <numFmt numFmtId="166" formatCode="&quot;$&quot;#,##0"/>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rgb="FFA9D08E"/>
        </left>
        <right style="thin">
          <color rgb="FFA9D08E"/>
        </right>
        <top style="thin">
          <color rgb="FFA9D08E"/>
        </top>
        <bottom style="thin">
          <color rgb="FFA9D08E"/>
        </bottom>
      </border>
    </dxf>
    <dxf>
      <font>
        <b/>
        <i val="0"/>
        <strike val="0"/>
        <condense val="0"/>
        <extend val="0"/>
        <outline val="0"/>
        <shadow val="0"/>
        <u val="none"/>
        <vertAlign val="baseline"/>
        <sz val="11"/>
        <color theme="0"/>
        <name val="Calibri"/>
        <scheme val="minor"/>
      </font>
      <fill>
        <patternFill patternType="solid">
          <fgColor theme="9"/>
          <bgColor theme="9"/>
        </patternFill>
      </fill>
    </dxf>
    <dxf>
      <fill>
        <patternFill>
          <fgColor indexed="64"/>
          <bgColor rgb="FFF4B183"/>
        </patternFill>
      </fill>
    </dxf>
    <dxf>
      <fill>
        <patternFill>
          <fgColor indexed="64"/>
          <bgColor rgb="FFF4B183"/>
        </patternFill>
      </fill>
    </dxf>
    <dxf>
      <font>
        <color theme="0" tint="-4.9989318521683403E-2"/>
      </font>
      <fill>
        <patternFill patternType="solid">
          <fgColor indexed="64"/>
          <bgColor theme="0"/>
        </patternFill>
      </fill>
    </dxf>
    <dxf>
      <font>
        <color theme="0" tint="-4.9989318521683403E-2"/>
      </font>
      <fill>
        <patternFill patternType="solid">
          <fgColor indexed="64"/>
          <bgColor theme="0"/>
        </patternFill>
      </fill>
    </dxf>
    <dxf>
      <font>
        <color theme="0" tint="-4.9989318521683403E-2"/>
      </font>
      <numFmt numFmtId="0" formatCode="General"/>
      <fill>
        <patternFill patternType="solid">
          <fgColor indexed="64"/>
          <bgColor theme="0"/>
        </patternFill>
      </fill>
    </dxf>
    <dxf>
      <font>
        <color theme="0" tint="-4.9989318521683403E-2"/>
      </font>
    </dxf>
    <dxf>
      <font>
        <color theme="0" tint="-4.9989318521683403E-2"/>
      </font>
    </dxf>
    <dxf>
      <fill>
        <patternFill patternType="solid">
          <bgColor theme="0"/>
        </patternFill>
      </fill>
    </dxf>
    <dxf>
      <numFmt numFmtId="9" formatCode="&quot;$&quot;#,##0_);\(&quot;$&quot;#,##0\)"/>
      <fill>
        <patternFill patternType="solid">
          <fgColor indexed="64"/>
          <bgColor rgb="FFB4C6E7"/>
        </patternFill>
      </fill>
    </dxf>
    <dxf>
      <font>
        <b/>
      </font>
      <numFmt numFmtId="0" formatCode="General"/>
      <fill>
        <patternFill>
          <fgColor rgb="FFF4B183"/>
        </patternFill>
      </fill>
    </dxf>
    <dxf>
      <font>
        <b/>
      </font>
      <numFmt numFmtId="0" formatCode="General"/>
      <fill>
        <patternFill>
          <fgColor rgb="FFF4B183"/>
        </patternFill>
      </fill>
    </dxf>
    <dxf>
      <font>
        <b/>
      </font>
      <numFmt numFmtId="0" formatCode="General"/>
      <fill>
        <patternFill>
          <fgColor rgb="FFF4B183"/>
        </patternFill>
      </fill>
    </dxf>
    <dxf>
      <fill>
        <patternFill patternType="solid">
          <fgColor indexed="64"/>
          <bgColor rgb="FFFFE699"/>
        </patternFill>
      </fill>
    </dxf>
    <dxf>
      <fill>
        <patternFill patternType="solid">
          <fgColor indexed="64"/>
          <bgColor rgb="FFFFE699"/>
        </patternFill>
      </fill>
    </dxf>
    <dxf>
      <numFmt numFmtId="9" formatCode="&quot;$&quot;#,##0_);\(&quot;$&quot;#,##0\)"/>
      <fill>
        <patternFill patternType="solid">
          <fgColor indexed="64"/>
          <bgColor rgb="FFB4C6E7"/>
        </patternFill>
      </fill>
    </dxf>
    <dxf>
      <numFmt numFmtId="9" formatCode="&quot;$&quot;#,##0_);\(&quot;$&quot;#,##0\)"/>
      <fill>
        <patternFill patternType="solid">
          <fgColor indexed="64"/>
          <bgColor rgb="FFB4C6E7"/>
        </patternFill>
      </fill>
    </dxf>
    <dxf>
      <font>
        <color theme="0"/>
      </font>
      <fill>
        <patternFill patternType="solid">
          <fgColor indexed="64"/>
          <bgColor theme="0"/>
        </patternFill>
      </fill>
    </dxf>
    <dxf>
      <fill>
        <patternFill patternType="solid">
          <fgColor indexed="64"/>
          <bgColor theme="0"/>
        </patternFill>
      </fill>
    </dxf>
    <dxf>
      <font>
        <color theme="0"/>
      </font>
    </dxf>
    <dxf>
      <fill>
        <patternFill patternType="solid">
          <bgColor theme="0"/>
        </patternFill>
      </fill>
    </dxf>
    <dxf>
      <numFmt numFmtId="19" formatCode="m/d/yyyy"/>
    </dxf>
    <dxf>
      <numFmt numFmtId="9" formatCode="&quot;$&quot;#,##0_);\(&quot;$&quot;#,##0\)"/>
    </dxf>
    <dxf>
      <numFmt numFmtId="166" formatCode="&quot;$&quot;#,##0"/>
    </dxf>
    <dxf>
      <numFmt numFmtId="19" formatCode="m/d/yyyy"/>
    </dxf>
    <dxf>
      <font>
        <b val="0"/>
        <i val="0"/>
        <strike val="0"/>
        <condense val="0"/>
        <extend val="0"/>
        <outline val="0"/>
        <shadow val="0"/>
        <u val="none"/>
        <vertAlign val="baseline"/>
        <sz val="11"/>
        <color theme="1"/>
        <name val="Calibri"/>
        <scheme val="none"/>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scheme val="minor"/>
      </font>
      <fill>
        <patternFill patternType="solid">
          <fgColor theme="9"/>
          <bgColor theme="9"/>
        </patternFill>
      </fill>
    </dxf>
    <dxf>
      <numFmt numFmtId="9" formatCode="&quot;$&quot;#,##0_);\(&quot;$&quot;#,##0\)"/>
    </dxf>
    <dxf>
      <numFmt numFmtId="166" formatCode="&quot;$&quot;#,##0"/>
    </dxf>
    <dxf>
      <font>
        <b val="0"/>
        <i val="0"/>
        <strike val="0"/>
        <condense val="0"/>
        <extend val="0"/>
        <outline val="0"/>
        <shadow val="0"/>
        <u val="none"/>
        <vertAlign val="baseline"/>
        <sz val="11"/>
        <color theme="1"/>
        <name val="Calibri"/>
        <scheme val="none"/>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scheme val="minor"/>
      </font>
      <fill>
        <patternFill patternType="solid">
          <fgColor theme="9"/>
          <bgColor theme="9"/>
        </patternFill>
      </fill>
    </dxf>
    <dxf>
      <numFmt numFmtId="9" formatCode="&quot;$&quot;#,##0_);\(&quot;$&quot;#,##0\)"/>
    </dxf>
    <dxf>
      <numFmt numFmtId="166" formatCode="&quot;$&quot;#,##0"/>
    </dxf>
    <dxf>
      <font>
        <b val="0"/>
        <i val="0"/>
        <strike val="0"/>
        <condense val="0"/>
        <extend val="0"/>
        <outline val="0"/>
        <shadow val="0"/>
        <u val="none"/>
        <vertAlign val="baseline"/>
        <sz val="11"/>
        <color theme="1"/>
        <name val="Calibri"/>
        <scheme val="none"/>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scheme val="minor"/>
      </font>
      <fill>
        <patternFill patternType="solid">
          <fgColor theme="9"/>
          <bgColor theme="9"/>
        </patternFill>
      </fill>
    </dxf>
    <dxf>
      <numFmt numFmtId="9" formatCode="&quot;$&quot;#,##0_);\(&quot;$&quot;#,##0\)"/>
    </dxf>
    <dxf>
      <numFmt numFmtId="166" formatCode="&quot;$&quot;#,##0"/>
    </dxf>
    <dxf>
      <font>
        <b val="0"/>
        <i val="0"/>
        <strike val="0"/>
        <condense val="0"/>
        <extend val="0"/>
        <outline val="0"/>
        <shadow val="0"/>
        <u val="none"/>
        <vertAlign val="baseline"/>
        <sz val="11"/>
        <color theme="1"/>
        <name val="Calibri"/>
        <scheme val="none"/>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scheme val="minor"/>
      </font>
      <fill>
        <patternFill patternType="solid">
          <fgColor theme="9"/>
          <bgColor theme="9"/>
        </patternFill>
      </fill>
    </dxf>
    <dxf>
      <numFmt numFmtId="9" formatCode="&quot;$&quot;#,##0_);\(&quot;$&quot;#,##0\)"/>
    </dxf>
    <dxf>
      <numFmt numFmtId="166" formatCode="&quot;$&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pivotCacheDefinition" Target="pivotCache/pivotCacheDefinition13.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pivotCacheDefinition" Target="pivotCache/pivotCacheDefinition8.xml"/><Relationship Id="rId42" Type="http://schemas.openxmlformats.org/officeDocument/2006/relationships/theme" Target="theme/theme1.xml"/><Relationship Id="rId47"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pivotCacheDefinition" Target="pivotCache/pivotCacheDefinition7.xml"/><Relationship Id="rId38" Type="http://schemas.openxmlformats.org/officeDocument/2006/relationships/pivotCacheDefinition" Target="pivotCache/pivotCacheDefinition12.xml"/><Relationship Id="rId46"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pivotCacheDefinition" Target="pivotCache/pivotCacheDefinition3.xml"/><Relationship Id="rId41" Type="http://schemas.openxmlformats.org/officeDocument/2006/relationships/pivotCacheDefinition" Target="pivotCache/pivotCacheDefinition1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pivotCacheDefinition" Target="pivotCache/pivotCacheDefinition6.xml"/><Relationship Id="rId37" Type="http://schemas.openxmlformats.org/officeDocument/2006/relationships/pivotCacheDefinition" Target="pivotCache/pivotCacheDefinition11.xml"/><Relationship Id="rId40" Type="http://schemas.openxmlformats.org/officeDocument/2006/relationships/pivotCacheDefinition" Target="pivotCache/pivotCacheDefinition14.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pivotCacheDefinition" Target="pivotCache/pivotCacheDefinition2.xml"/><Relationship Id="rId36" Type="http://schemas.openxmlformats.org/officeDocument/2006/relationships/pivotCacheDefinition" Target="pivotCache/pivotCacheDefinition10.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pivotCacheDefinition" Target="pivotCache/pivotCacheDefinition5.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pivotCacheDefinition" Target="pivotCache/pivotCacheDefinition1.xml"/><Relationship Id="rId30" Type="http://schemas.openxmlformats.org/officeDocument/2006/relationships/pivotCacheDefinition" Target="pivotCache/pivotCacheDefinition4.xml"/><Relationship Id="rId35" Type="http://schemas.openxmlformats.org/officeDocument/2006/relationships/pivotCacheDefinition" Target="pivotCache/pivotCacheDefinition9.xml"/><Relationship Id="rId43" Type="http://schemas.openxmlformats.org/officeDocument/2006/relationships/styles" Target="styles.xml"/><Relationship Id="rId48"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1'!A1"/><Relationship Id="rId1" Type="http://schemas.openxmlformats.org/officeDocument/2006/relationships/image" Target="../media/image1.png"/><Relationship Id="rId4" Type="http://schemas.openxmlformats.org/officeDocument/2006/relationships/image" Target="../media/image3.svg"/></Relationships>
</file>

<file path=xl/drawings/_rels/drawing2.xml.rels><?xml version="1.0" encoding="UTF-8" standalone="yes"?>
<Relationships xmlns="http://schemas.openxmlformats.org/package/2006/relationships"><Relationship Id="rId3" Type="http://schemas.openxmlformats.org/officeDocument/2006/relationships/hyperlink" Target="https://go.microsoft.com/fwlink/?linkid=874800" TargetMode="External"/><Relationship Id="rId2" Type="http://schemas.openxmlformats.org/officeDocument/2006/relationships/hyperlink" Target="#'Start'!A1"/><Relationship Id="rId1" Type="http://schemas.openxmlformats.org/officeDocument/2006/relationships/hyperlink" Target="#'2'!A1"/></Relationships>
</file>

<file path=xl/drawings/_rels/drawing3.xml.rels><?xml version="1.0" encoding="UTF-8" standalone="yes"?>
<Relationships xmlns="http://schemas.openxmlformats.org/package/2006/relationships"><Relationship Id="rId3" Type="http://schemas.openxmlformats.org/officeDocument/2006/relationships/hyperlink" Target="https://go.microsoft.com/fwlink/?linkid=874801" TargetMode="External"/><Relationship Id="rId2" Type="http://schemas.openxmlformats.org/officeDocument/2006/relationships/hyperlink" Target="#'1'!A1"/><Relationship Id="rId1" Type="http://schemas.openxmlformats.org/officeDocument/2006/relationships/hyperlink" Target="#'3'!A1"/></Relationships>
</file>

<file path=xl/drawings/_rels/drawing4.xml.rels><?xml version="1.0" encoding="UTF-8" standalone="yes"?>
<Relationships xmlns="http://schemas.openxmlformats.org/package/2006/relationships"><Relationship Id="rId3" Type="http://schemas.openxmlformats.org/officeDocument/2006/relationships/hyperlink" Target="https://go.microsoft.com/fwlink/?linkid=874803" TargetMode="External"/><Relationship Id="rId2" Type="http://schemas.openxmlformats.org/officeDocument/2006/relationships/hyperlink" Target="#'2'!A1"/><Relationship Id="rId1" Type="http://schemas.openxmlformats.org/officeDocument/2006/relationships/hyperlink" Target="#'4'!A1"/></Relationships>
</file>

<file path=xl/drawings/_rels/drawing5.xml.rels><?xml version="1.0" encoding="UTF-8" standalone="yes"?>
<Relationships xmlns="http://schemas.openxmlformats.org/package/2006/relationships"><Relationship Id="rId3" Type="http://schemas.openxmlformats.org/officeDocument/2006/relationships/hyperlink" Target="https://go.microsoft.com/fwlink/?linkid=874804" TargetMode="External"/><Relationship Id="rId2" Type="http://schemas.openxmlformats.org/officeDocument/2006/relationships/hyperlink" Target="#'3'!A1"/><Relationship Id="rId1" Type="http://schemas.openxmlformats.org/officeDocument/2006/relationships/hyperlink" Target="#'5'!A1"/></Relationships>
</file>

<file path=xl/drawings/_rels/drawing6.xml.rels><?xml version="1.0" encoding="UTF-8" standalone="yes"?>
<Relationships xmlns="http://schemas.openxmlformats.org/package/2006/relationships"><Relationship Id="rId3" Type="http://schemas.openxmlformats.org/officeDocument/2006/relationships/hyperlink" Target="https://go.microsoft.com/fwlink/?linkid=874804" TargetMode="External"/><Relationship Id="rId2" Type="http://schemas.openxmlformats.org/officeDocument/2006/relationships/hyperlink" Target="#'4'!A1"/><Relationship Id="rId1" Type="http://schemas.openxmlformats.org/officeDocument/2006/relationships/hyperlink" Target="#'6'!A1"/></Relationships>
</file>

<file path=xl/drawings/_rels/drawing7.xml.rels><?xml version="1.0" encoding="UTF-8" standalone="yes"?>
<Relationships xmlns="http://schemas.openxmlformats.org/package/2006/relationships"><Relationship Id="rId3" Type="http://schemas.openxmlformats.org/officeDocument/2006/relationships/hyperlink" Target="https://go.microsoft.com/fwlink/?linkid=874805" TargetMode="External"/><Relationship Id="rId2" Type="http://schemas.openxmlformats.org/officeDocument/2006/relationships/hyperlink" Target="#'5'!A1"/><Relationship Id="rId1" Type="http://schemas.openxmlformats.org/officeDocument/2006/relationships/hyperlink" Target="#'7'!A1"/><Relationship Id="rId4" Type="http://schemas.openxmlformats.org/officeDocument/2006/relationships/image" Target="../media/image3.png"/></Relationships>
</file>

<file path=xl/drawings/_rels/drawing8.xml.rels><?xml version="1.0" encoding="UTF-8" standalone="yes"?>
<Relationships xmlns="http://schemas.openxmlformats.org/package/2006/relationships"><Relationship Id="rId3" Type="http://schemas.openxmlformats.org/officeDocument/2006/relationships/hyperlink" Target="#'6'!A1"/><Relationship Id="rId2" Type="http://schemas.openxmlformats.org/officeDocument/2006/relationships/hyperlink" Target="#'8'!A1"/><Relationship Id="rId1" Type="http://schemas.openxmlformats.org/officeDocument/2006/relationships/hyperlink" Target="https://go.microsoft.com/fwlink/?linkid=874806" TargetMode="External"/></Relationships>
</file>

<file path=xl/drawings/_rels/drawing9.xml.rels><?xml version="1.0" encoding="UTF-8" standalone="yes"?>
<Relationships xmlns="http://schemas.openxmlformats.org/package/2006/relationships"><Relationship Id="rId3" Type="http://schemas.openxmlformats.org/officeDocument/2006/relationships/hyperlink" Target="https://go.microsoft.com/fwlink/?linkid=874807" TargetMode="External"/><Relationship Id="rId2" Type="http://schemas.openxmlformats.org/officeDocument/2006/relationships/hyperlink" Target="#'7'!A1"/><Relationship Id="rId1" Type="http://schemas.openxmlformats.org/officeDocument/2006/relationships/hyperlink" Target="#'9'!A1"/></Relationships>
</file>

<file path=xl/drawings/_rels/drawing10.xml.rels><?xml version="1.0" encoding="UTF-8" standalone="yes"?>
<Relationships xmlns="http://schemas.openxmlformats.org/package/2006/relationships"><Relationship Id="rId3" Type="http://schemas.openxmlformats.org/officeDocument/2006/relationships/hyperlink" Target="#'8'!A1"/><Relationship Id="rId2" Type="http://schemas.openxmlformats.org/officeDocument/2006/relationships/hyperlink" Target="#'10'!A1"/><Relationship Id="rId1" Type="http://schemas.openxmlformats.org/officeDocument/2006/relationships/hyperlink" Target="https://go.microsoft.com/fwlink/?linkid=874809" TargetMode="External"/><Relationship Id="rId4" Type="http://schemas.openxmlformats.org/officeDocument/2006/relationships/image" Target="../media/image4.png"/></Relationships>
</file>

<file path=xl/drawings/_rels/drawing11.xml.rels><?xml version="1.0" encoding="UTF-8" standalone="yes"?>
<Relationships xmlns="http://schemas.openxmlformats.org/package/2006/relationships"><Relationship Id="rId3" Type="http://schemas.openxmlformats.org/officeDocument/2006/relationships/hyperlink" Target="https://go.microsoft.com/fwlink/?linkid=874810" TargetMode="External"/><Relationship Id="rId2" Type="http://schemas.openxmlformats.org/officeDocument/2006/relationships/hyperlink" Target="#'9'!A1"/><Relationship Id="rId1" Type="http://schemas.openxmlformats.org/officeDocument/2006/relationships/hyperlink" Target="#'11'!A1"/><Relationship Id="rId4" Type="http://schemas.openxmlformats.org/officeDocument/2006/relationships/image" Target="../media/image5.png"/></Relationships>
</file>

<file path=xl/drawings/_rels/drawing12.xml.rels><?xml version="1.0" encoding="UTF-8" standalone="yes"?>
<Relationships xmlns="http://schemas.openxmlformats.org/package/2006/relationships"><Relationship Id="rId3" Type="http://schemas.openxmlformats.org/officeDocument/2006/relationships/hyperlink" Target="https://go.microsoft.com/fwlink/?linkid=874811" TargetMode="External"/><Relationship Id="rId2" Type="http://schemas.openxmlformats.org/officeDocument/2006/relationships/hyperlink" Target="#'10'!A1"/><Relationship Id="rId1" Type="http://schemas.openxmlformats.org/officeDocument/2006/relationships/hyperlink" Target="#'12'!A1"/></Relationships>
</file>

<file path=xl/drawings/_rels/drawing13.xml.rels><?xml version="1.0" encoding="UTF-8" standalone="yes"?>
<Relationships xmlns="http://schemas.openxmlformats.org/package/2006/relationships"><Relationship Id="rId3" Type="http://schemas.openxmlformats.org/officeDocument/2006/relationships/hyperlink" Target="https://go.microsoft.com/fwlink/?linkid=874812" TargetMode="External"/><Relationship Id="rId7" Type="http://schemas.openxmlformats.org/officeDocument/2006/relationships/image" Target="../media/image10.svg"/><Relationship Id="rId2" Type="http://schemas.openxmlformats.org/officeDocument/2006/relationships/hyperlink" Target="#'11'!A1"/><Relationship Id="rId1" Type="http://schemas.openxmlformats.org/officeDocument/2006/relationships/hyperlink" Target="#'13'!A1"/><Relationship Id="rId6" Type="http://schemas.openxmlformats.org/officeDocument/2006/relationships/image" Target="../media/image7.png"/><Relationship Id="rId5" Type="http://schemas.openxmlformats.org/officeDocument/2006/relationships/image" Target="../media/image8.svg"/><Relationship Id="rId4" Type="http://schemas.openxmlformats.org/officeDocument/2006/relationships/image" Target="../media/image6.png"/></Relationships>
</file>

<file path=xl/drawings/_rels/drawing14.xml.rels><?xml version="1.0" encoding="UTF-8" standalone="yes"?>
<Relationships xmlns="http://schemas.openxmlformats.org/package/2006/relationships"><Relationship Id="rId3" Type="http://schemas.openxmlformats.org/officeDocument/2006/relationships/hyperlink" Target="https://go.microsoft.com/fwlink/?linkid=874813" TargetMode="External"/><Relationship Id="rId2" Type="http://schemas.openxmlformats.org/officeDocument/2006/relationships/hyperlink" Target="#'12'!A1"/><Relationship Id="rId1" Type="http://schemas.openxmlformats.org/officeDocument/2006/relationships/hyperlink" Target="#'14'!A1"/><Relationship Id="rId4" Type="http://schemas.openxmlformats.org/officeDocument/2006/relationships/image" Target="../media/image8.png"/></Relationships>
</file>

<file path=xl/drawings/_rels/drawing15.xml.rels><?xml version="1.0" encoding="UTF-8" standalone="yes"?>
<Relationships xmlns="http://schemas.openxmlformats.org/package/2006/relationships"><Relationship Id="rId3" Type="http://schemas.openxmlformats.org/officeDocument/2006/relationships/hyperlink" Target="#'13'!A1"/><Relationship Id="rId2" Type="http://schemas.openxmlformats.org/officeDocument/2006/relationships/hyperlink" Target="#'15'!A1"/><Relationship Id="rId1" Type="http://schemas.openxmlformats.org/officeDocument/2006/relationships/hyperlink" Target="https://go.microsoft.com/fwlink/?linkid=874815" TargetMode="External"/></Relationships>
</file>

<file path=xl/drawings/_rels/drawing16.xml.rels><?xml version="1.0" encoding="UTF-8" standalone="yes"?>
<Relationships xmlns="http://schemas.openxmlformats.org/package/2006/relationships"><Relationship Id="rId3" Type="http://schemas.openxmlformats.org/officeDocument/2006/relationships/hyperlink" Target="https://go.microsoft.com/fwlink/?linkid=874816" TargetMode="External"/><Relationship Id="rId2" Type="http://schemas.openxmlformats.org/officeDocument/2006/relationships/hyperlink" Target="#'14'!A1"/><Relationship Id="rId1" Type="http://schemas.openxmlformats.org/officeDocument/2006/relationships/hyperlink" Target="#'16'!A1"/><Relationship Id="rId5" Type="http://schemas.openxmlformats.org/officeDocument/2006/relationships/image" Target="../media/image13.svg"/><Relationship Id="rId4" Type="http://schemas.openxmlformats.org/officeDocument/2006/relationships/image" Target="../media/image9.png"/></Relationships>
</file>

<file path=xl/drawings/_rels/drawing17.xml.rels><?xml version="1.0" encoding="UTF-8" standalone="yes"?>
<Relationships xmlns="http://schemas.openxmlformats.org/package/2006/relationships"><Relationship Id="rId3" Type="http://schemas.openxmlformats.org/officeDocument/2006/relationships/hyperlink" Target="https://go.microsoft.com/fwlink/?linkid=874817" TargetMode="External"/><Relationship Id="rId2" Type="http://schemas.openxmlformats.org/officeDocument/2006/relationships/hyperlink" Target="#'15'!A1"/><Relationship Id="rId1" Type="http://schemas.openxmlformats.org/officeDocument/2006/relationships/hyperlink" Target="#'17'!A1"/><Relationship Id="rId5" Type="http://schemas.openxmlformats.org/officeDocument/2006/relationships/image" Target="../media/image15.svg"/><Relationship Id="rId4" Type="http://schemas.openxmlformats.org/officeDocument/2006/relationships/image" Target="../media/image10.png"/></Relationships>
</file>

<file path=xl/drawings/_rels/drawing18.xml.rels><?xml version="1.0" encoding="UTF-8" standalone="yes"?>
<Relationships xmlns="http://schemas.openxmlformats.org/package/2006/relationships"><Relationship Id="rId3" Type="http://schemas.openxmlformats.org/officeDocument/2006/relationships/hyperlink" Target="https://go.microsoft.com/fwlink/?linkid=874818" TargetMode="External"/><Relationship Id="rId2" Type="http://schemas.openxmlformats.org/officeDocument/2006/relationships/hyperlink" Target="#'16'!A1"/><Relationship Id="rId1" Type="http://schemas.openxmlformats.org/officeDocument/2006/relationships/hyperlink" Target="#'18'!A1"/><Relationship Id="rId5" Type="http://schemas.openxmlformats.org/officeDocument/2006/relationships/image" Target="../media/image13.svg"/><Relationship Id="rId4" Type="http://schemas.openxmlformats.org/officeDocument/2006/relationships/image" Target="../media/image11.png"/></Relationships>
</file>

<file path=xl/drawings/_rels/drawing19.xml.rels><?xml version="1.0" encoding="UTF-8" standalone="yes"?>
<Relationships xmlns="http://schemas.openxmlformats.org/package/2006/relationships"><Relationship Id="rId3" Type="http://schemas.openxmlformats.org/officeDocument/2006/relationships/hyperlink" Target="https://go.microsoft.com/fwlink/?linkid=874819" TargetMode="External"/><Relationship Id="rId2" Type="http://schemas.openxmlformats.org/officeDocument/2006/relationships/hyperlink" Target="#'17'!A1"/><Relationship Id="rId1" Type="http://schemas.openxmlformats.org/officeDocument/2006/relationships/hyperlink" Target="#'19'!A1"/><Relationship Id="rId5" Type="http://schemas.openxmlformats.org/officeDocument/2006/relationships/image" Target="../media/image16.svg"/><Relationship Id="rId4" Type="http://schemas.openxmlformats.org/officeDocument/2006/relationships/image" Target="../media/image12.png"/></Relationships>
</file>

<file path=xl/drawings/_rels/drawing20.xml.rels><?xml version="1.0" encoding="UTF-8" standalone="yes"?>
<Relationships xmlns="http://schemas.openxmlformats.org/package/2006/relationships"><Relationship Id="rId3" Type="http://schemas.openxmlformats.org/officeDocument/2006/relationships/hyperlink" Target="#'20'!A1"/><Relationship Id="rId2" Type="http://schemas.openxmlformats.org/officeDocument/2006/relationships/image" Target="../media/image18.svg"/><Relationship Id="rId1" Type="http://schemas.openxmlformats.org/officeDocument/2006/relationships/image" Target="../media/image13.png"/><Relationship Id="rId5" Type="http://schemas.openxmlformats.org/officeDocument/2006/relationships/hyperlink" Target="https://go.microsoft.com/fwlink/?linkid=874820" TargetMode="External"/><Relationship Id="rId4" Type="http://schemas.openxmlformats.org/officeDocument/2006/relationships/hyperlink" Target="#'18'!A1"/></Relationships>
</file>

<file path=xl/drawings/_rels/drawing21.xml.rels><?xml version="1.0" encoding="UTF-8" standalone="yes"?>
<Relationships xmlns="http://schemas.openxmlformats.org/package/2006/relationships"><Relationship Id="rId3" Type="http://schemas.openxmlformats.org/officeDocument/2006/relationships/hyperlink" Target="#'19'!A1"/><Relationship Id="rId2" Type="http://schemas.openxmlformats.org/officeDocument/2006/relationships/hyperlink" Target="#'21'!A1"/><Relationship Id="rId1" Type="http://schemas.openxmlformats.org/officeDocument/2006/relationships/hyperlink" Target="https://go.microsoft.com/fwlink/?linkid=874821" TargetMode="External"/></Relationships>
</file>

<file path=xl/drawings/_rels/drawing22.xml.rels><?xml version="1.0" encoding="UTF-8" standalone="yes"?>
<Relationships xmlns="http://schemas.openxmlformats.org/package/2006/relationships"><Relationship Id="rId3" Type="http://schemas.openxmlformats.org/officeDocument/2006/relationships/hyperlink" Target="#'20'!A1"/><Relationship Id="rId2" Type="http://schemas.openxmlformats.org/officeDocument/2006/relationships/hyperlink" Target="#'22'!A1"/><Relationship Id="rId1" Type="http://schemas.openxmlformats.org/officeDocument/2006/relationships/hyperlink" Target="https://go.microsoft.com/fwlink/?linkid=874822" TargetMode="External"/></Relationships>
</file>

<file path=xl/drawings/_rels/drawing23.xml.rels><?xml version="1.0" encoding="UTF-8" standalone="yes"?>
<Relationships xmlns="http://schemas.openxmlformats.org/package/2006/relationships"><Relationship Id="rId3" Type="http://schemas.openxmlformats.org/officeDocument/2006/relationships/hyperlink" Target="#'21'!A1"/><Relationship Id="rId2" Type="http://schemas.openxmlformats.org/officeDocument/2006/relationships/hyperlink" Target="#'23'!A1"/><Relationship Id="rId1" Type="http://schemas.openxmlformats.org/officeDocument/2006/relationships/hyperlink" Target="https://go.microsoft.com/fwlink/?linkid=874822" TargetMode="External"/></Relationships>
</file>

<file path=xl/drawings/_rels/drawing24.xml.rels><?xml version="1.0" encoding="UTF-8" standalone="yes"?>
<Relationships xmlns="http://schemas.openxmlformats.org/package/2006/relationships"><Relationship Id="rId3" Type="http://schemas.openxmlformats.org/officeDocument/2006/relationships/hyperlink" Target="#'22'!A1"/><Relationship Id="rId2" Type="http://schemas.openxmlformats.org/officeDocument/2006/relationships/hyperlink" Target="#'24'!A1"/><Relationship Id="rId1" Type="http://schemas.openxmlformats.org/officeDocument/2006/relationships/hyperlink" Target="https://go.microsoft.com/fwlink/?linkid=875099" TargetMode="External"/></Relationships>
</file>

<file path=xl/drawings/_rels/drawing25.xml.rels><?xml version="1.0" encoding="UTF-8" standalone="yes"?>
<Relationships xmlns="http://schemas.openxmlformats.org/package/2006/relationships"><Relationship Id="rId3" Type="http://schemas.openxmlformats.org/officeDocument/2006/relationships/hyperlink" Target="#'23'!A1"/><Relationship Id="rId2" Type="http://schemas.openxmlformats.org/officeDocument/2006/relationships/hyperlink" Target="#'Learn more'!A1"/><Relationship Id="rId1" Type="http://schemas.openxmlformats.org/officeDocument/2006/relationships/hyperlink" Target="https://go.microsoft.com/fwlink/?linkid=875100" TargetMode="External"/></Relationships>
</file>

<file path=xl/drawings/_rels/drawing26.xml.rels><?xml version="1.0" encoding="UTF-8" standalone="yes"?>
<Relationships xmlns="http://schemas.openxmlformats.org/package/2006/relationships"><Relationship Id="rId8" Type="http://schemas.openxmlformats.org/officeDocument/2006/relationships/hyperlink" Target="https://go.microsoft.com/fwlink/?linkid=874827" TargetMode="External"/><Relationship Id="rId3" Type="http://schemas.openxmlformats.org/officeDocument/2006/relationships/hyperlink" Target="https://go.microsoft.com/fwlink/?linkid=874825" TargetMode="External"/><Relationship Id="rId7" Type="http://schemas.openxmlformats.org/officeDocument/2006/relationships/image" Target="../media/image21.svg"/><Relationship Id="rId2" Type="http://schemas.openxmlformats.org/officeDocument/2006/relationships/hyperlink" Target="https://go.microsoft.com/fwlink/?linkid=874828" TargetMode="External"/><Relationship Id="rId1" Type="http://schemas.openxmlformats.org/officeDocument/2006/relationships/hyperlink" Target="https://go.microsoft.com/fwlink/?linkid=874829" TargetMode="External"/><Relationship Id="rId6" Type="http://schemas.openxmlformats.org/officeDocument/2006/relationships/image" Target="../media/image15.png"/><Relationship Id="rId5" Type="http://schemas.openxmlformats.org/officeDocument/2006/relationships/hyperlink" Target="https://go.microsoft.com/fwlink/?linkid=874826" TargetMode="External"/><Relationship Id="rId10" Type="http://schemas.openxmlformats.org/officeDocument/2006/relationships/image" Target="../media/image17.png"/><Relationship Id="rId4" Type="http://schemas.openxmlformats.org/officeDocument/2006/relationships/image" Target="../media/image14.png"/><Relationship Id="rId9" Type="http://schemas.openxmlformats.org/officeDocument/2006/relationships/image" Target="../media/image16.png"/></Relationships>
</file>

<file path=xl/drawings/drawing1.xml><?xml version="1.0" encoding="utf-8"?>
<xdr:wsDr xmlns:xdr="http://schemas.openxmlformats.org/drawingml/2006/spreadsheetDrawing" xmlns:a="http://schemas.openxmlformats.org/drawingml/2006/main">
  <xdr:twoCellAnchor editAs="absolute">
    <xdr:from>
      <xdr:col>0</xdr:col>
      <xdr:colOff>132080</xdr:colOff>
      <xdr:row>3</xdr:row>
      <xdr:rowOff>1527493</xdr:rowOff>
    </xdr:from>
    <xdr:to>
      <xdr:col>0</xdr:col>
      <xdr:colOff>1771650</xdr:colOff>
      <xdr:row>3</xdr:row>
      <xdr:rowOff>2260918</xdr:rowOff>
    </xdr:to>
    <xdr:pic>
      <xdr:nvPicPr>
        <xdr:cNvPr id="2" name="Logo" descr="Excel logo">
          <a:extLst>
            <a:ext uri="{FF2B5EF4-FFF2-40B4-BE49-F238E27FC236}">
              <a16:creationId xmlns:a16="http://schemas.microsoft.com/office/drawing/2014/main" xmlns="" id="{4F4D5E8C-CF05-440E-8B75-3A0092A64F40}"/>
            </a:ext>
          </a:extLst>
        </xdr:cNvPr>
        <xdr:cNvPicPr>
          <a:picLocks noChangeAspect="1"/>
        </xdr:cNvPicPr>
      </xdr:nvPicPr>
      <xdr:blipFill rotWithShape="1">
        <a:blip xmlns:r="http://schemas.openxmlformats.org/officeDocument/2006/relationships" r:embed="rId1"/>
        <a:srcRect l="6589" t="13099" r="6742" b="13099"/>
        <a:stretch/>
      </xdr:blipFill>
      <xdr:spPr>
        <a:xfrm>
          <a:off x="132080" y="3365818"/>
          <a:ext cx="1639570" cy="733425"/>
        </a:xfrm>
        <a:prstGeom prst="rect">
          <a:avLst/>
        </a:prstGeom>
      </xdr:spPr>
    </xdr:pic>
    <xdr:clientData/>
  </xdr:twoCellAnchor>
  <xdr:absoluteAnchor>
    <xdr:pos x="6381750" y="3571875"/>
    <xdr:ext cx="1170432" cy="514350"/>
    <xdr:sp macro="" textlink="">
      <xdr:nvSpPr>
        <xdr:cNvPr id="3" name="Next Button" descr="Navigation link to the next step">
          <a:hlinkClick xmlns:r="http://schemas.openxmlformats.org/officeDocument/2006/relationships" r:id="rId2" tooltip="Click here to go to the next sheet"/>
          <a:extLst>
            <a:ext uri="{FF2B5EF4-FFF2-40B4-BE49-F238E27FC236}">
              <a16:creationId xmlns:a16="http://schemas.microsoft.com/office/drawing/2014/main" xmlns="" id="{D75312FC-5F0D-47E9-8C47-A0CEBE5C0BE5}"/>
            </a:ext>
          </a:extLst>
        </xdr:cNvPr>
        <xdr:cNvSpPr/>
      </xdr:nvSpPr>
      <xdr:spPr>
        <a:xfrm>
          <a:off x="6381750" y="3571875"/>
          <a:ext cx="1170432" cy="514350"/>
        </a:xfrm>
        <a:prstGeom prst="rect">
          <a:avLst/>
        </a:prstGeom>
        <a:solidFill>
          <a:schemeClr val="bg1"/>
        </a:solidFill>
        <a:ln>
          <a:solidFill>
            <a:srgbClr val="217346"/>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750" b="0" cap="none" spc="0" baseline="0">
              <a:ln>
                <a:noFill/>
              </a:ln>
              <a:solidFill>
                <a:srgbClr val="217346"/>
              </a:solidFill>
              <a:effectLst/>
              <a:latin typeface="Segoe UI" panose="020B0502040204020203" pitchFamily="34" charset="0"/>
              <a:ea typeface="Segoe UI" pitchFamily="34" charset="0"/>
              <a:cs typeface="Segoe UI" panose="020B0502040204020203" pitchFamily="34" charset="0"/>
            </a:rPr>
            <a:t>Let's go &gt;</a:t>
          </a:r>
          <a:endParaRPr lang="en-US" sz="1750" b="0" cap="none" spc="0">
            <a:ln>
              <a:noFill/>
            </a:ln>
            <a:solidFill>
              <a:srgbClr val="217346"/>
            </a:solidFill>
            <a:effectLst/>
            <a:latin typeface="Segoe UI" panose="020B0502040204020203" pitchFamily="34" charset="0"/>
            <a:ea typeface="Segoe UI" pitchFamily="34" charset="0"/>
            <a:cs typeface="Segoe UI" panose="020B0502040204020203" pitchFamily="34" charset="0"/>
          </a:endParaRPr>
        </a:p>
      </xdr:txBody>
    </xdr:sp>
    <xdr:clientData fPrintsWithSheet="0"/>
  </xdr:absoluteAnchor>
  <xdr:twoCellAnchor editAs="absolute">
    <xdr:from>
      <xdr:col>2</xdr:col>
      <xdr:colOff>276850</xdr:colOff>
      <xdr:row>3</xdr:row>
      <xdr:rowOff>1312545</xdr:rowOff>
    </xdr:from>
    <xdr:to>
      <xdr:col>4</xdr:col>
      <xdr:colOff>219070</xdr:colOff>
      <xdr:row>3</xdr:row>
      <xdr:rowOff>2341377</xdr:rowOff>
    </xdr:to>
    <xdr:sp macro="" textlink="">
      <xdr:nvSpPr>
        <xdr:cNvPr id="5" name="Good to know Step" descr="GOOD TO KNOW&#10;Did you take the first tutorial? If not, go to File &gt; New and find Make your first PivotTable.&#10;&#10;">
          <a:extLst>
            <a:ext uri="{FF2B5EF4-FFF2-40B4-BE49-F238E27FC236}">
              <a16:creationId xmlns:a16="http://schemas.microsoft.com/office/drawing/2014/main" xmlns="" id="{BD2E63DA-5007-4B63-BFAF-7BFC3D27B1E4}"/>
            </a:ext>
          </a:extLst>
        </xdr:cNvPr>
        <xdr:cNvSpPr txBox="1"/>
      </xdr:nvSpPr>
      <xdr:spPr>
        <a:xfrm>
          <a:off x="8220700" y="3150870"/>
          <a:ext cx="1428120" cy="10288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Did you take the first tutorial? If not, go to </a:t>
          </a:r>
          <a:r>
            <a:rPr lang="en-US" sz="1100" b="1" i="0" kern="1200" baseline="0">
              <a:solidFill>
                <a:schemeClr val="dk1"/>
              </a:solidFill>
              <a:effectLst/>
              <a:latin typeface="+mn-lt"/>
              <a:ea typeface="+mn-ea"/>
              <a:cs typeface="+mn-cs"/>
            </a:rPr>
            <a:t>File</a:t>
          </a:r>
          <a:r>
            <a:rPr lang="en-US" sz="1100" b="0" i="0" kern="1200" baseline="0">
              <a:solidFill>
                <a:schemeClr val="dk1"/>
              </a:solidFill>
              <a:effectLst/>
              <a:latin typeface="+mn-lt"/>
              <a:ea typeface="+mn-ea"/>
              <a:cs typeface="+mn-cs"/>
            </a:rPr>
            <a:t> &gt; </a:t>
          </a:r>
          <a:r>
            <a:rPr lang="en-US" sz="1100" b="1" i="0" kern="1200" baseline="0">
              <a:solidFill>
                <a:schemeClr val="dk1"/>
              </a:solidFill>
              <a:effectLst/>
              <a:latin typeface="+mn-lt"/>
              <a:ea typeface="+mn-ea"/>
              <a:cs typeface="+mn-cs"/>
            </a:rPr>
            <a:t>New</a:t>
          </a:r>
          <a:r>
            <a:rPr lang="en-US" sz="1100" b="0" i="0" kern="1200" baseline="0">
              <a:solidFill>
                <a:schemeClr val="dk1"/>
              </a:solidFill>
              <a:effectLst/>
              <a:latin typeface="+mn-lt"/>
              <a:ea typeface="+mn-ea"/>
              <a:cs typeface="+mn-cs"/>
            </a:rPr>
            <a:t> and find </a:t>
          </a:r>
          <a:r>
            <a:rPr lang="en-US" sz="1100" b="1" i="1" kern="1200" baseline="0">
              <a:solidFill>
                <a:schemeClr val="dk1"/>
              </a:solidFill>
              <a:effectLst/>
              <a:latin typeface="+mn-lt"/>
              <a:ea typeface="+mn-ea"/>
              <a:cs typeface="+mn-cs"/>
            </a:rPr>
            <a:t>Make your first PivotTable.</a:t>
          </a:r>
          <a:endParaRPr lang="en-US" sz="1100" b="1" i="1">
            <a:effectLst/>
            <a:latin typeface="+mn-lt"/>
          </a:endParaRPr>
        </a:p>
      </xdr:txBody>
    </xdr:sp>
    <xdr:clientData fLocksWithSheet="0"/>
  </xdr:twoCellAnchor>
  <xdr:twoCellAnchor>
    <xdr:from>
      <xdr:col>1</xdr:col>
      <xdr:colOff>171450</xdr:colOff>
      <xdr:row>3</xdr:row>
      <xdr:rowOff>1369695</xdr:rowOff>
    </xdr:from>
    <xdr:to>
      <xdr:col>2</xdr:col>
      <xdr:colOff>377972</xdr:colOff>
      <xdr:row>3</xdr:row>
      <xdr:rowOff>1814342</xdr:rowOff>
    </xdr:to>
    <xdr:pic>
      <xdr:nvPicPr>
        <xdr:cNvPr id="9" name="Graphic 2" descr="Owl">
          <a:extLst>
            <a:ext uri="{FF2B5EF4-FFF2-40B4-BE49-F238E27FC236}">
              <a16:creationId xmlns:a16="http://schemas.microsoft.com/office/drawing/2014/main" xmlns="" id="{9F2D586A-FDEB-438B-8125-27CE96CE687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xmlns="" r:embed="rId4"/>
            </a:ext>
          </a:extLst>
        </a:blip>
        <a:stretch>
          <a:fillRect/>
        </a:stretch>
      </xdr:blipFill>
      <xdr:spPr>
        <a:xfrm>
          <a:off x="7877175" y="3208020"/>
          <a:ext cx="444647" cy="44464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475868</xdr:colOff>
      <xdr:row>21</xdr:row>
      <xdr:rowOff>139346</xdr:rowOff>
    </xdr:to>
    <xdr:grpSp>
      <xdr:nvGrpSpPr>
        <xdr:cNvPr id="2" name="grp_WalkMe">
          <a:extLst>
            <a:ext uri="{FF2B5EF4-FFF2-40B4-BE49-F238E27FC236}">
              <a16:creationId xmlns:a16="http://schemas.microsoft.com/office/drawing/2014/main" xmlns="" id="{0CBCAAD8-AC3E-432E-BD29-4DB76654AE20}"/>
            </a:ext>
          </a:extLst>
        </xdr:cNvPr>
        <xdr:cNvGrpSpPr/>
      </xdr:nvGrpSpPr>
      <xdr:grpSpPr>
        <a:xfrm>
          <a:off x="0" y="0"/>
          <a:ext cx="7791068" cy="4139846"/>
          <a:chOff x="0" y="0"/>
          <a:chExt cx="7781543" cy="4287014"/>
        </a:xfrm>
      </xdr:grpSpPr>
      <xdr:sp macro="" textlink="">
        <xdr:nvSpPr>
          <xdr:cNvPr id="3" name="txt_WalkMeHeader" descr="In the first tutorial, we introduced you to the concept of a PivotTable. We also explained how a row field can be used as a condition that breaks down a value field.   ">
            <a:extLst>
              <a:ext uri="{FF2B5EF4-FFF2-40B4-BE49-F238E27FC236}">
                <a16:creationId xmlns:a16="http://schemas.microsoft.com/office/drawing/2014/main" xmlns="" id="{185A756E-1A26-4CD6-B712-C790CFE2BC55}"/>
              </a:ext>
            </a:extLst>
          </xdr:cNvPr>
          <xdr:cNvSpPr txBox="1"/>
        </xdr:nvSpPr>
        <xdr:spPr>
          <a:xfrm>
            <a:off x="0" y="0"/>
            <a:ext cx="7781543"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500" b="0" kern="1200" baseline="0">
                <a:solidFill>
                  <a:schemeClr val="dk1"/>
                </a:solidFill>
                <a:effectLst/>
                <a:latin typeface="Segoe UI Semibold" panose="020B0702040204020203" pitchFamily="34" charset="0"/>
                <a:ea typeface="+mn-ea"/>
                <a:cs typeface="Segoe UI Semibold" panose="020B0702040204020203" pitchFamily="34" charset="0"/>
              </a:rPr>
              <a:t>In the first tutorial, we introduced you to the concept of a PivotTable</a:t>
            </a:r>
            <a:r>
              <a:rPr lang="en-US" sz="1500" b="0" kern="1200" baseline="0">
                <a:solidFill>
                  <a:schemeClr val="dk1"/>
                </a:solidFill>
                <a:effectLst/>
                <a:latin typeface="Segoe UI Light" panose="020B0502040204020203" pitchFamily="34" charset="0"/>
                <a:ea typeface="+mn-ea"/>
                <a:cs typeface="Segoe UI Light" panose="020B0502040204020203" pitchFamily="34" charset="0"/>
              </a:rPr>
              <a:t>. We also explained how a row field can be used as a condition that breaks up a value field.   </a:t>
            </a:r>
            <a:endParaRPr lang="en-US" sz="1500">
              <a:effectLst/>
              <a:latin typeface="Segoe UI Light" panose="020B0502040204020203" pitchFamily="34" charset="0"/>
              <a:cs typeface="Segoe UI Light" panose="020B0502040204020203" pitchFamily="34" charset="0"/>
            </a:endParaRPr>
          </a:p>
        </xdr:txBody>
      </xdr:sp>
      <xdr:sp macro="" textlink="">
        <xdr:nvSpPr>
          <xdr:cNvPr id="4" name="txt_WalkMeFooter">
            <a:extLst>
              <a:ext uri="{FF2B5EF4-FFF2-40B4-BE49-F238E27FC236}">
                <a16:creationId xmlns:a16="http://schemas.microsoft.com/office/drawing/2014/main" xmlns="" id="{005F1675-138F-4865-9273-49994D27F04B}"/>
              </a:ext>
            </a:extLst>
          </xdr:cNvPr>
          <xdr:cNvSpPr txBox="1"/>
        </xdr:nvSpPr>
        <xdr:spPr>
          <a:xfrm>
            <a:off x="0" y="3619500"/>
            <a:ext cx="7781543" cy="66751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
              <a:ea typeface="Segoe UI" pitchFamily="34" charset="0"/>
              <a:cs typeface="Segoe UI Light" panose="020B0502040204020203" pitchFamily="34" charset="0"/>
            </a:endParaRPr>
          </a:p>
        </xdr:txBody>
      </xdr:sp>
      <xdr:sp macro="" textlink="">
        <xdr:nvSpPr>
          <xdr:cNvPr id="5" name="txt_WalkMeNext" descr="Click Next to go to the next worksheet">
            <a:hlinkClick xmlns:r="http://schemas.openxmlformats.org/officeDocument/2006/relationships" r:id="rId1" tooltip="Click here to go to the next sheet"/>
            <a:extLst>
              <a:ext uri="{FF2B5EF4-FFF2-40B4-BE49-F238E27FC236}">
                <a16:creationId xmlns:a16="http://schemas.microsoft.com/office/drawing/2014/main" xmlns="" id="{B3B405CA-35F3-49D1-99DC-0B651E8D2288}"/>
              </a:ext>
            </a:extLst>
          </xdr:cNvPr>
          <xdr:cNvSpPr/>
        </xdr:nvSpPr>
        <xdr:spPr>
          <a:xfrm>
            <a:off x="6261100" y="3774949"/>
            <a:ext cx="1207008" cy="3566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sp macro="" textlink="">
        <xdr:nvSpPr>
          <xdr:cNvPr id="6" name="txt_WalkMePrevious" descr="Click Previous to go back to the last worksheet">
            <a:hlinkClick xmlns:r="http://schemas.openxmlformats.org/officeDocument/2006/relationships" r:id="rId2" tooltip="Click here to go back to the previous sheet"/>
            <a:extLst>
              <a:ext uri="{FF2B5EF4-FFF2-40B4-BE49-F238E27FC236}">
                <a16:creationId xmlns:a16="http://schemas.microsoft.com/office/drawing/2014/main" xmlns="" id="{3197360C-67E5-48ED-B801-FE89FD94C37A}"/>
              </a:ext>
            </a:extLst>
          </xdr:cNvPr>
          <xdr:cNvSpPr/>
        </xdr:nvSpPr>
        <xdr:spPr>
          <a:xfrm flipH="1">
            <a:off x="304800" y="3774949"/>
            <a:ext cx="1207008" cy="3566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sp macro="" textlink="">
        <xdr:nvSpPr>
          <xdr:cNvPr id="7" name="txt_WalkMeFeedback" descr="Press Feedback to let us know what you think">
            <a:hlinkClick xmlns:r="http://schemas.openxmlformats.org/officeDocument/2006/relationships" r:id="rId3" tooltip="Click to give us feedback on this tutorial"/>
            <a:extLst>
              <a:ext uri="{FF2B5EF4-FFF2-40B4-BE49-F238E27FC236}">
                <a16:creationId xmlns:a16="http://schemas.microsoft.com/office/drawing/2014/main" xmlns="" id="{5F11E478-0BC6-4BDC-9374-E8D8AFD4FF7D}"/>
              </a:ext>
            </a:extLst>
          </xdr:cNvPr>
          <xdr:cNvSpPr/>
        </xdr:nvSpPr>
        <xdr:spPr>
          <a:xfrm>
            <a:off x="3291839" y="4094990"/>
            <a:ext cx="1197864" cy="192024"/>
          </a:xfrm>
          <a:prstGeom prst="rect">
            <a:avLst/>
          </a:prstGeom>
          <a:solidFill>
            <a:schemeClr val="bg1">
              <a:lumMod val="85000"/>
            </a:schemeClr>
          </a:solidFill>
          <a:ln>
            <a:no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100" u="sng">
                <a:solidFill>
                  <a:sysClr val="windowText" lastClr="000000"/>
                </a:solidFill>
                <a:latin typeface="Segoe UI" panose="020B0502040204020203" pitchFamily="34" charset="0"/>
                <a:ea typeface="Segoe UI" pitchFamily="34" charset="0"/>
                <a:cs typeface="Segoe UI" pitchFamily="34" charset="0"/>
              </a:rPr>
              <a:t>Feedback</a:t>
            </a:r>
          </a:p>
        </xdr:txBody>
      </xdr:sp>
    </xdr:grpSp>
    <xdr:clientData/>
  </xdr:twoCellAnchor>
  <xdr:twoCellAnchor editAs="absolute">
    <xdr:from>
      <xdr:col>5</xdr:col>
      <xdr:colOff>180975</xdr:colOff>
      <xdr:row>7</xdr:row>
      <xdr:rowOff>156210</xdr:rowOff>
    </xdr:from>
    <xdr:to>
      <xdr:col>6</xdr:col>
      <xdr:colOff>677799</xdr:colOff>
      <xdr:row>9</xdr:row>
      <xdr:rowOff>95250</xdr:rowOff>
    </xdr:to>
    <xdr:sp macro="" textlink="">
      <xdr:nvSpPr>
        <xdr:cNvPr id="8" name="Tip Text 23" descr="This example shows how the row field...">
          <a:extLst>
            <a:ext uri="{FF2B5EF4-FFF2-40B4-BE49-F238E27FC236}">
              <a16:creationId xmlns:a16="http://schemas.microsoft.com/office/drawing/2014/main" xmlns="" id="{C7DEB72F-40D0-4C86-85B9-7E4546FEA1AF}"/>
            </a:ext>
          </a:extLst>
        </xdr:cNvPr>
        <xdr:cNvSpPr txBox="1"/>
      </xdr:nvSpPr>
      <xdr:spPr>
        <a:xfrm>
          <a:off x="3219450" y="1489710"/>
          <a:ext cx="1106424" cy="320040"/>
        </a:xfrm>
        <a:prstGeom prst="rect">
          <a:avLst/>
        </a:prstGeom>
        <a:no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b="0" noProof="0">
              <a:effectLst/>
              <a:latin typeface="Calibri" panose="020F0502020204030204" pitchFamily="34" charset="0"/>
              <a:ea typeface="Calibri" panose="020F0502020204030204" pitchFamily="34" charset="0"/>
              <a:cs typeface="Calibri" panose="020F0502020204030204" pitchFamily="34" charset="0"/>
            </a:rPr>
            <a:t>The row field...</a:t>
          </a:r>
        </a:p>
      </xdr:txBody>
    </xdr:sp>
    <xdr:clientData/>
  </xdr:twoCellAnchor>
  <xdr:twoCellAnchor editAs="absolute">
    <xdr:from>
      <xdr:col>8</xdr:col>
      <xdr:colOff>73849</xdr:colOff>
      <xdr:row>14</xdr:row>
      <xdr:rowOff>69977</xdr:rowOff>
    </xdr:from>
    <xdr:to>
      <xdr:col>8</xdr:col>
      <xdr:colOff>823405</xdr:colOff>
      <xdr:row>15</xdr:row>
      <xdr:rowOff>117221</xdr:rowOff>
    </xdr:to>
    <xdr:sp macro="" textlink="">
      <xdr:nvSpPr>
        <xdr:cNvPr id="9" name="shp_BraceBottom">
          <a:extLst>
            <a:ext uri="{FF2B5EF4-FFF2-40B4-BE49-F238E27FC236}">
              <a16:creationId xmlns:a16="http://schemas.microsoft.com/office/drawing/2014/main" xmlns="" id="{92B8F965-071F-42FF-AA9B-5303C40BF326}"/>
            </a:ext>
          </a:extLst>
        </xdr:cNvPr>
        <xdr:cNvSpPr/>
      </xdr:nvSpPr>
      <xdr:spPr>
        <a:xfrm rot="5400000" flipH="1" flipV="1">
          <a:off x="5454205" y="2481071"/>
          <a:ext cx="237744" cy="749556"/>
        </a:xfrm>
        <a:prstGeom prst="leftBrace">
          <a:avLst>
            <a:gd name="adj1" fmla="val 34667"/>
            <a:gd name="adj2" fmla="val 48679"/>
          </a:avLst>
        </a:prstGeom>
        <a:ln w="19050">
          <a:solidFill>
            <a:srgbClr val="217346"/>
          </a:solidFill>
          <a:prstDash val="sysDot"/>
          <a:headEnd type="non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marL="0" indent="0" algn="l"/>
          <a:endParaRPr lang="en-US" sz="1100">
            <a:solidFill>
              <a:schemeClr val="tx1"/>
            </a:solidFill>
            <a:latin typeface="Calibri" panose="020F0502020204030204" pitchFamily="34" charset="0"/>
            <a:ea typeface="+mn-ea"/>
            <a:cs typeface="+mn-cs"/>
          </a:endParaRPr>
        </a:p>
      </xdr:txBody>
    </xdr:sp>
    <xdr:clientData/>
  </xdr:twoCellAnchor>
  <xdr:twoCellAnchor editAs="absolute">
    <xdr:from>
      <xdr:col>7</xdr:col>
      <xdr:colOff>314325</xdr:colOff>
      <xdr:row>15</xdr:row>
      <xdr:rowOff>87630</xdr:rowOff>
    </xdr:from>
    <xdr:to>
      <xdr:col>9</xdr:col>
      <xdr:colOff>344805</xdr:colOff>
      <xdr:row>17</xdr:row>
      <xdr:rowOff>154686</xdr:rowOff>
    </xdr:to>
    <xdr:sp macro="" textlink="">
      <xdr:nvSpPr>
        <xdr:cNvPr id="10" name="Tip Text 24" descr="...breaks up the value field.">
          <a:extLst>
            <a:ext uri="{FF2B5EF4-FFF2-40B4-BE49-F238E27FC236}">
              <a16:creationId xmlns:a16="http://schemas.microsoft.com/office/drawing/2014/main" xmlns="" id="{B4436690-B71C-4641-8920-34AF6EF7741D}"/>
            </a:ext>
          </a:extLst>
        </xdr:cNvPr>
        <xdr:cNvSpPr txBox="1"/>
      </xdr:nvSpPr>
      <xdr:spPr>
        <a:xfrm>
          <a:off x="4686300" y="2945130"/>
          <a:ext cx="1773555" cy="448056"/>
        </a:xfrm>
        <a:prstGeom prst="rect">
          <a:avLst/>
        </a:prstGeom>
        <a:no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b="0" noProof="0">
              <a:effectLst/>
              <a:latin typeface="Calibri" panose="020F0502020204030204" pitchFamily="34" charset="0"/>
              <a:ea typeface="Calibri" panose="020F0502020204030204" pitchFamily="34" charset="0"/>
              <a:cs typeface="Calibri" panose="020F0502020204030204" pitchFamily="34" charset="0"/>
            </a:rPr>
            <a:t>...breaks up the value field.</a:t>
          </a:r>
          <a:endParaRPr lang="en-US" sz="1100" noProof="0">
            <a:effectLst/>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absolute">
    <xdr:from>
      <xdr:col>6</xdr:col>
      <xdr:colOff>97896</xdr:colOff>
      <xdr:row>5</xdr:row>
      <xdr:rowOff>117256</xdr:rowOff>
    </xdr:from>
    <xdr:to>
      <xdr:col>7</xdr:col>
      <xdr:colOff>73588</xdr:colOff>
      <xdr:row>9</xdr:row>
      <xdr:rowOff>159352</xdr:rowOff>
    </xdr:to>
    <xdr:sp macro="" textlink="">
      <xdr:nvSpPr>
        <xdr:cNvPr id="11" name="shp_ArrowCurved">
          <a:extLst>
            <a:ext uri="{FF2B5EF4-FFF2-40B4-BE49-F238E27FC236}">
              <a16:creationId xmlns:a16="http://schemas.microsoft.com/office/drawing/2014/main" xmlns="" id="{5FD1F551-2AA0-42BD-8FF5-F486B07FB2A4}"/>
            </a:ext>
          </a:extLst>
        </xdr:cNvPr>
        <xdr:cNvSpPr/>
      </xdr:nvSpPr>
      <xdr:spPr>
        <a:xfrm rot="13532850">
          <a:off x="3688957" y="1126770"/>
          <a:ext cx="804096" cy="690067"/>
        </a:xfrm>
        <a:prstGeom prst="arc">
          <a:avLst>
            <a:gd name="adj1" fmla="val 11455374"/>
            <a:gd name="adj2" fmla="val 14914865"/>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latin typeface="Calibri" panose="020F0502020204030204" pitchFamily="34" charset="0"/>
          </a:endParaRPr>
        </a:p>
      </xdr:txBody>
    </xdr:sp>
    <xdr:clientData/>
  </xdr:twoCellAnchor>
  <xdr:twoCellAnchor editAs="absolute">
    <xdr:from>
      <xdr:col>7</xdr:col>
      <xdr:colOff>46609</xdr:colOff>
      <xdr:row>5</xdr:row>
      <xdr:rowOff>55245</xdr:rowOff>
    </xdr:from>
    <xdr:to>
      <xdr:col>8</xdr:col>
      <xdr:colOff>878141</xdr:colOff>
      <xdr:row>8</xdr:row>
      <xdr:rowOff>131069</xdr:rowOff>
    </xdr:to>
    <xdr:grpSp>
      <xdr:nvGrpSpPr>
        <xdr:cNvPr id="12" name="Group 11">
          <a:extLst>
            <a:ext uri="{FF2B5EF4-FFF2-40B4-BE49-F238E27FC236}">
              <a16:creationId xmlns:a16="http://schemas.microsoft.com/office/drawing/2014/main" xmlns="" id="{FBC05569-3D38-4A31-9736-B326F32A6F91}"/>
            </a:ext>
          </a:extLst>
        </xdr:cNvPr>
        <xdr:cNvGrpSpPr/>
      </xdr:nvGrpSpPr>
      <xdr:grpSpPr>
        <a:xfrm>
          <a:off x="4418584" y="1007745"/>
          <a:ext cx="1584007" cy="647324"/>
          <a:chOff x="4409059" y="1007745"/>
          <a:chExt cx="1584007" cy="647323"/>
        </a:xfrm>
      </xdr:grpSpPr>
      <xdr:sp macro="" textlink="">
        <xdr:nvSpPr>
          <xdr:cNvPr id="13" name="Tip Text 2" descr="This simple PivotTable summarizes the data by Buyer and Sum of Amount&#10;">
            <a:extLst>
              <a:ext uri="{FF2B5EF4-FFF2-40B4-BE49-F238E27FC236}">
                <a16:creationId xmlns:a16="http://schemas.microsoft.com/office/drawing/2014/main" xmlns="" id="{4F89901B-E2A4-432F-A906-7DAD21017051}"/>
              </a:ext>
            </a:extLst>
          </xdr:cNvPr>
          <xdr:cNvSpPr txBox="1">
            <a:spLocks noChangeArrowheads="1"/>
          </xdr:cNvSpPr>
        </xdr:nvSpPr>
        <xdr:spPr bwMode="auto">
          <a:xfrm>
            <a:off x="4549983" y="1007745"/>
            <a:ext cx="1302406" cy="27432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PivotTable</a:t>
            </a:r>
          </a:p>
        </xdr:txBody>
      </xdr:sp>
      <xdr:sp macro="" textlink="">
        <xdr:nvSpPr>
          <xdr:cNvPr id="14" name="Bracket 2">
            <a:extLst>
              <a:ext uri="{FF2B5EF4-FFF2-40B4-BE49-F238E27FC236}">
                <a16:creationId xmlns:a16="http://schemas.microsoft.com/office/drawing/2014/main" xmlns="" id="{8AB9F8C4-EDB2-4327-8FFC-6FE50E98A2E6}"/>
              </a:ext>
            </a:extLst>
          </xdr:cNvPr>
          <xdr:cNvSpPr/>
        </xdr:nvSpPr>
        <xdr:spPr>
          <a:xfrm rot="5400000">
            <a:off x="5086762" y="748765"/>
            <a:ext cx="228601" cy="1584007"/>
          </a:xfrm>
          <a:prstGeom prst="leftBrace">
            <a:avLst>
              <a:gd name="adj1" fmla="val 71107"/>
              <a:gd name="adj2" fmla="val 49484"/>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sz="1100">
              <a:latin typeface="Calibri" panose="020F0502020204030204" pitchFamily="34" charset="0"/>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10</xdr:col>
      <xdr:colOff>494918</xdr:colOff>
      <xdr:row>22</xdr:row>
      <xdr:rowOff>96012</xdr:rowOff>
    </xdr:to>
    <xdr:grpSp>
      <xdr:nvGrpSpPr>
        <xdr:cNvPr id="2" name="grp_WalkMe">
          <a:extLst>
            <a:ext uri="{FF2B5EF4-FFF2-40B4-BE49-F238E27FC236}">
              <a16:creationId xmlns:a16="http://schemas.microsoft.com/office/drawing/2014/main" xmlns="" id="{0163F57D-6E0F-4B43-9E03-9A087FCD67B2}"/>
            </a:ext>
          </a:extLst>
        </xdr:cNvPr>
        <xdr:cNvGrpSpPr/>
      </xdr:nvGrpSpPr>
      <xdr:grpSpPr>
        <a:xfrm>
          <a:off x="0" y="0"/>
          <a:ext cx="7781543" cy="4267962"/>
          <a:chOff x="0" y="0"/>
          <a:chExt cx="7781543" cy="4439412"/>
        </a:xfrm>
      </xdr:grpSpPr>
      <xdr:sp macro="" textlink="">
        <xdr:nvSpPr>
          <xdr:cNvPr id="3" name="txt_WalkMeHeader" descr="But when you first look at a PivotTable, you might find that you need more answers out of it.">
            <a:extLst>
              <a:ext uri="{FF2B5EF4-FFF2-40B4-BE49-F238E27FC236}">
                <a16:creationId xmlns:a16="http://schemas.microsoft.com/office/drawing/2014/main" xmlns="" id="{76F5F9BA-9587-4602-95C4-3FCEE45813BB}"/>
              </a:ext>
            </a:extLst>
          </xdr:cNvPr>
          <xdr:cNvSpPr txBox="1"/>
        </xdr:nvSpPr>
        <xdr:spPr>
          <a:xfrm>
            <a:off x="0" y="0"/>
            <a:ext cx="7781543"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500" b="0" kern="1200" baseline="0">
                <a:solidFill>
                  <a:schemeClr val="dk1"/>
                </a:solidFill>
                <a:effectLst/>
                <a:latin typeface="Segoe UI Semibold" panose="020B0702040204020203" pitchFamily="34" charset="0"/>
                <a:ea typeface="+mn-ea"/>
                <a:cs typeface="Segoe UI Semibold" panose="020B0702040204020203" pitchFamily="34" charset="0"/>
              </a:rPr>
              <a:t>But when you first look at a PivotTable, </a:t>
            </a:r>
            <a:r>
              <a:rPr lang="en-US" sz="1500" b="0" kern="1200" baseline="0">
                <a:solidFill>
                  <a:schemeClr val="dk1"/>
                </a:solidFill>
                <a:effectLst/>
                <a:latin typeface="Segoe UI Light" panose="020B0502040204020203" pitchFamily="34" charset="0"/>
                <a:ea typeface="+mn-ea"/>
                <a:cs typeface="Segoe UI Light" panose="020B0502040204020203" pitchFamily="34" charset="0"/>
              </a:rPr>
              <a:t>you might find that you need more answers out of it. </a:t>
            </a:r>
          </a:p>
        </xdr:txBody>
      </xdr:sp>
      <xdr:sp macro="" textlink="">
        <xdr:nvSpPr>
          <xdr:cNvPr id="4" name="txt_WalkMeFooter">
            <a:extLst>
              <a:ext uri="{FF2B5EF4-FFF2-40B4-BE49-F238E27FC236}">
                <a16:creationId xmlns:a16="http://schemas.microsoft.com/office/drawing/2014/main" xmlns="" id="{5606B571-AC2C-49B3-9358-149921868111}"/>
              </a:ext>
            </a:extLst>
          </xdr:cNvPr>
          <xdr:cNvSpPr txBox="1"/>
        </xdr:nvSpPr>
        <xdr:spPr>
          <a:xfrm>
            <a:off x="0" y="3600450"/>
            <a:ext cx="7781543" cy="66751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
              <a:ea typeface="Segoe UI" pitchFamily="34" charset="0"/>
              <a:cs typeface="Segoe UI Light" panose="020B0502040204020203" pitchFamily="34" charset="0"/>
            </a:endParaRPr>
          </a:p>
        </xdr:txBody>
      </xdr:sp>
      <xdr:sp macro="" textlink="">
        <xdr:nvSpPr>
          <xdr:cNvPr id="5" name="txt_WalkMeNext" descr="Next step button, hyperlinked to next sheet">
            <a:hlinkClick xmlns:r="http://schemas.openxmlformats.org/officeDocument/2006/relationships" r:id="rId1" tooltip="Click here to go to the next sheet"/>
            <a:extLst>
              <a:ext uri="{FF2B5EF4-FFF2-40B4-BE49-F238E27FC236}">
                <a16:creationId xmlns:a16="http://schemas.microsoft.com/office/drawing/2014/main" xmlns="" id="{53F2B1CA-0CE9-46DA-AB24-B8BB1F266533}"/>
              </a:ext>
            </a:extLst>
          </xdr:cNvPr>
          <xdr:cNvSpPr/>
        </xdr:nvSpPr>
        <xdr:spPr>
          <a:xfrm>
            <a:off x="6261100" y="3755898"/>
            <a:ext cx="1207008" cy="3566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sp macro="" textlink="">
        <xdr:nvSpPr>
          <xdr:cNvPr id="6" name="txt_WalkMePrevious" descr="Previous step button, hyperlinked to previous sheet">
            <a:hlinkClick xmlns:r="http://schemas.openxmlformats.org/officeDocument/2006/relationships" r:id="rId2" tooltip="Click here to go back to the previous sheet"/>
            <a:extLst>
              <a:ext uri="{FF2B5EF4-FFF2-40B4-BE49-F238E27FC236}">
                <a16:creationId xmlns:a16="http://schemas.microsoft.com/office/drawing/2014/main" xmlns="" id="{709C67B5-018B-4213-8E1C-8C9CA4AE959F}"/>
              </a:ext>
            </a:extLst>
          </xdr:cNvPr>
          <xdr:cNvSpPr/>
        </xdr:nvSpPr>
        <xdr:spPr>
          <a:xfrm flipH="1">
            <a:off x="304800" y="3755898"/>
            <a:ext cx="1207008" cy="3566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sp macro="" textlink="">
        <xdr:nvSpPr>
          <xdr:cNvPr id="7" name="txt_WalkMeFeedback" descr="Feedback button, hyperlinked to web form">
            <a:hlinkClick xmlns:r="http://schemas.openxmlformats.org/officeDocument/2006/relationships" r:id="rId3" tooltip="Click to give us feedback on this tutorial"/>
            <a:extLst>
              <a:ext uri="{FF2B5EF4-FFF2-40B4-BE49-F238E27FC236}">
                <a16:creationId xmlns:a16="http://schemas.microsoft.com/office/drawing/2014/main" xmlns="" id="{AC53091B-3FE6-43A2-9CA9-07DBBB7AB49A}"/>
              </a:ext>
            </a:extLst>
          </xdr:cNvPr>
          <xdr:cNvSpPr/>
        </xdr:nvSpPr>
        <xdr:spPr>
          <a:xfrm>
            <a:off x="3291839" y="4075938"/>
            <a:ext cx="1197864" cy="192024"/>
          </a:xfrm>
          <a:prstGeom prst="rect">
            <a:avLst/>
          </a:prstGeom>
          <a:solidFill>
            <a:schemeClr val="bg1">
              <a:lumMod val="85000"/>
            </a:schemeClr>
          </a:solidFill>
          <a:ln>
            <a:no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100" u="sng">
                <a:solidFill>
                  <a:sysClr val="windowText" lastClr="000000"/>
                </a:solidFill>
                <a:latin typeface="Segoe UI" panose="020B0502040204020203" pitchFamily="34" charset="0"/>
                <a:ea typeface="Segoe UI" pitchFamily="34" charset="0"/>
                <a:cs typeface="Segoe UI" pitchFamily="34" charset="0"/>
              </a:rPr>
              <a:t>Feedback</a:t>
            </a:r>
          </a:p>
        </xdr:txBody>
      </xdr:sp>
    </xdr:grpSp>
    <xdr:clientData/>
  </xdr:twoCellAnchor>
  <xdr:twoCellAnchor editAs="absolute">
    <xdr:from>
      <xdr:col>5</xdr:col>
      <xdr:colOff>57151</xdr:colOff>
      <xdr:row>5</xdr:row>
      <xdr:rowOff>85735</xdr:rowOff>
    </xdr:from>
    <xdr:to>
      <xdr:col>6</xdr:col>
      <xdr:colOff>950992</xdr:colOff>
      <xdr:row>8</xdr:row>
      <xdr:rowOff>33992</xdr:rowOff>
    </xdr:to>
    <xdr:sp macro="" textlink="">
      <xdr:nvSpPr>
        <xdr:cNvPr id="8" name="txt_WalkMeCallout2" descr="What did Mom buy that was so expensive?">
          <a:extLst>
            <a:ext uri="{FF2B5EF4-FFF2-40B4-BE49-F238E27FC236}">
              <a16:creationId xmlns:a16="http://schemas.microsoft.com/office/drawing/2014/main" xmlns="" id="{72FEE2C1-1D5A-4CD5-9E31-5E55F078E5A7}"/>
            </a:ext>
          </a:extLst>
        </xdr:cNvPr>
        <xdr:cNvSpPr txBox="1"/>
      </xdr:nvSpPr>
      <xdr:spPr>
        <a:xfrm>
          <a:off x="3057526" y="1028710"/>
          <a:ext cx="1646316" cy="510232"/>
        </a:xfrm>
        <a:prstGeom prst="rect">
          <a:avLst/>
        </a:prstGeom>
        <a:solidFill>
          <a:srgbClr val="F4B183"/>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Calibri" panose="020F0502020204030204" pitchFamily="34" charset="0"/>
              <a:ea typeface="Calibri" panose="020F0502020204030204" pitchFamily="34" charset="0"/>
              <a:cs typeface="Calibri" panose="020F0502020204030204" pitchFamily="34" charset="0"/>
            </a:rPr>
            <a:t>What did each person spend money on?</a:t>
          </a:r>
        </a:p>
      </xdr:txBody>
    </xdr:sp>
    <xdr:clientData/>
  </xdr:twoCellAnchor>
  <xdr:twoCellAnchor editAs="absolute">
    <xdr:from>
      <xdr:col>5</xdr:col>
      <xdr:colOff>218320</xdr:colOff>
      <xdr:row>8</xdr:row>
      <xdr:rowOff>47630</xdr:rowOff>
    </xdr:from>
    <xdr:to>
      <xdr:col>5</xdr:col>
      <xdr:colOff>218320</xdr:colOff>
      <xdr:row>9</xdr:row>
      <xdr:rowOff>145963</xdr:rowOff>
    </xdr:to>
    <xdr:cxnSp macro="">
      <xdr:nvCxnSpPr>
        <xdr:cNvPr id="9" name="shp_ArrowStraight">
          <a:extLst>
            <a:ext uri="{FF2B5EF4-FFF2-40B4-BE49-F238E27FC236}">
              <a16:creationId xmlns:a16="http://schemas.microsoft.com/office/drawing/2014/main" xmlns="" id="{237388AB-0E48-428F-99DB-FA7C284CF585}"/>
            </a:ext>
          </a:extLst>
        </xdr:cNvPr>
        <xdr:cNvCxnSpPr/>
      </xdr:nvCxnSpPr>
      <xdr:spPr>
        <a:xfrm flipV="1">
          <a:off x="3218695" y="1552580"/>
          <a:ext cx="0" cy="288833"/>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7</xdr:col>
      <xdr:colOff>190500</xdr:colOff>
      <xdr:row>9</xdr:row>
      <xdr:rowOff>28586</xdr:rowOff>
    </xdr:from>
    <xdr:to>
      <xdr:col>8</xdr:col>
      <xdr:colOff>808116</xdr:colOff>
      <xdr:row>11</xdr:row>
      <xdr:rowOff>157818</xdr:rowOff>
    </xdr:to>
    <xdr:sp macro="" textlink="">
      <xdr:nvSpPr>
        <xdr:cNvPr id="10" name="txt_WalkMeCallout3" descr="When did these purchases happen?">
          <a:extLst>
            <a:ext uri="{FF2B5EF4-FFF2-40B4-BE49-F238E27FC236}">
              <a16:creationId xmlns:a16="http://schemas.microsoft.com/office/drawing/2014/main" xmlns="" id="{6777C7AC-4BD4-4AA6-9E3A-A88922D3D22E}"/>
            </a:ext>
          </a:extLst>
        </xdr:cNvPr>
        <xdr:cNvSpPr txBox="1"/>
      </xdr:nvSpPr>
      <xdr:spPr>
        <a:xfrm>
          <a:off x="4933950" y="1724036"/>
          <a:ext cx="1608216" cy="510232"/>
        </a:xfrm>
        <a:prstGeom prst="rect">
          <a:avLst/>
        </a:prstGeom>
        <a:solidFill>
          <a:srgbClr val="B4C6E7"/>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Calibri" panose="020F0502020204030204" pitchFamily="34" charset="0"/>
              <a:ea typeface="Calibri" panose="020F0502020204030204" pitchFamily="34" charset="0"/>
              <a:cs typeface="Calibri" panose="020F0502020204030204" pitchFamily="34" charset="0"/>
            </a:rPr>
            <a:t>What did Mom buy that was so expensive?</a:t>
          </a:r>
        </a:p>
      </xdr:txBody>
    </xdr:sp>
    <xdr:clientData/>
  </xdr:twoCellAnchor>
  <xdr:twoCellAnchor editAs="absolute">
    <xdr:from>
      <xdr:col>1</xdr:col>
      <xdr:colOff>381000</xdr:colOff>
      <xdr:row>8</xdr:row>
      <xdr:rowOff>161935</xdr:rowOff>
    </xdr:from>
    <xdr:to>
      <xdr:col>4</xdr:col>
      <xdr:colOff>198516</xdr:colOff>
      <xdr:row>11</xdr:row>
      <xdr:rowOff>100667</xdr:rowOff>
    </xdr:to>
    <xdr:sp macro="" textlink="">
      <xdr:nvSpPr>
        <xdr:cNvPr id="11" name="txt_WalkMeCallout1" descr="What did each person spend money on?">
          <a:extLst>
            <a:ext uri="{FF2B5EF4-FFF2-40B4-BE49-F238E27FC236}">
              <a16:creationId xmlns:a16="http://schemas.microsoft.com/office/drawing/2014/main" xmlns="" id="{3AAC450C-5889-4BFA-A9B5-D400C8B75868}"/>
            </a:ext>
          </a:extLst>
        </xdr:cNvPr>
        <xdr:cNvSpPr txBox="1"/>
      </xdr:nvSpPr>
      <xdr:spPr>
        <a:xfrm>
          <a:off x="990600" y="1666885"/>
          <a:ext cx="1646316" cy="510232"/>
        </a:xfrm>
        <a:prstGeom prst="rect">
          <a:avLst/>
        </a:prstGeom>
        <a:solidFill>
          <a:srgbClr val="FFE699"/>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Calibri" panose="020F0502020204030204" pitchFamily="34" charset="0"/>
              <a:ea typeface="Calibri" panose="020F0502020204030204" pitchFamily="34" charset="0"/>
              <a:cs typeface="Calibri" panose="020F0502020204030204" pitchFamily="34" charset="0"/>
            </a:rPr>
            <a:t>When did these purchases happen?</a:t>
          </a:r>
        </a:p>
      </xdr:txBody>
    </xdr:sp>
    <xdr:clientData/>
  </xdr:twoCellAnchor>
  <xdr:twoCellAnchor>
    <xdr:from>
      <xdr:col>3</xdr:col>
      <xdr:colOff>554794</xdr:colOff>
      <xdr:row>10</xdr:row>
      <xdr:rowOff>60265</xdr:rowOff>
    </xdr:from>
    <xdr:to>
      <xdr:col>5</xdr:col>
      <xdr:colOff>135589</xdr:colOff>
      <xdr:row>13</xdr:row>
      <xdr:rowOff>2717</xdr:rowOff>
    </xdr:to>
    <xdr:sp macro="" textlink="">
      <xdr:nvSpPr>
        <xdr:cNvPr id="12" name="shp_ArrowCurved">
          <a:extLst>
            <a:ext uri="{FF2B5EF4-FFF2-40B4-BE49-F238E27FC236}">
              <a16:creationId xmlns:a16="http://schemas.microsoft.com/office/drawing/2014/main" xmlns="" id="{B71C3636-DAED-4D63-BABE-93BA3CA33E83}"/>
            </a:ext>
          </a:extLst>
        </xdr:cNvPr>
        <xdr:cNvSpPr/>
      </xdr:nvSpPr>
      <xdr:spPr>
        <a:xfrm rot="11700000">
          <a:off x="2383594" y="1946215"/>
          <a:ext cx="752370" cy="513952"/>
        </a:xfrm>
        <a:prstGeom prst="arc">
          <a:avLst>
            <a:gd name="adj1" fmla="val 15041774"/>
            <a:gd name="adj2" fmla="val 20877560"/>
          </a:avLst>
        </a:prstGeom>
        <a:ln w="19050">
          <a:solidFill>
            <a:srgbClr val="217346"/>
          </a:solidFill>
          <a:prstDash val="sysDot"/>
          <a:headEnd type="triangle"/>
          <a:tailEnd type="non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6</xdr:col>
      <xdr:colOff>707193</xdr:colOff>
      <xdr:row>10</xdr:row>
      <xdr:rowOff>107893</xdr:rowOff>
    </xdr:from>
    <xdr:to>
      <xdr:col>7</xdr:col>
      <xdr:colOff>468963</xdr:colOff>
      <xdr:row>13</xdr:row>
      <xdr:rowOff>50345</xdr:rowOff>
    </xdr:to>
    <xdr:sp macro="" textlink="">
      <xdr:nvSpPr>
        <xdr:cNvPr id="13" name="shp_ArrowCurved" descr="Arrow">
          <a:extLst>
            <a:ext uri="{FF2B5EF4-FFF2-40B4-BE49-F238E27FC236}">
              <a16:creationId xmlns:a16="http://schemas.microsoft.com/office/drawing/2014/main" xmlns="" id="{FFA19B5E-4AA3-4969-93C6-1A4252EC873B}"/>
            </a:ext>
          </a:extLst>
        </xdr:cNvPr>
        <xdr:cNvSpPr/>
      </xdr:nvSpPr>
      <xdr:spPr>
        <a:xfrm rot="9900000" flipH="1">
          <a:off x="4460043" y="1993843"/>
          <a:ext cx="752370" cy="513952"/>
        </a:xfrm>
        <a:prstGeom prst="arc">
          <a:avLst>
            <a:gd name="adj1" fmla="val 15041774"/>
            <a:gd name="adj2" fmla="val 20877560"/>
          </a:avLst>
        </a:prstGeom>
        <a:ln w="19050">
          <a:solidFill>
            <a:srgbClr val="217346"/>
          </a:solidFill>
          <a:prstDash val="sysDot"/>
          <a:headEnd type="triangle"/>
          <a:tailEnd type="non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10</xdr:col>
      <xdr:colOff>494918</xdr:colOff>
      <xdr:row>22</xdr:row>
      <xdr:rowOff>96012</xdr:rowOff>
    </xdr:to>
    <xdr:grpSp>
      <xdr:nvGrpSpPr>
        <xdr:cNvPr id="2" name="grp_WalkMe">
          <a:extLst>
            <a:ext uri="{FF2B5EF4-FFF2-40B4-BE49-F238E27FC236}">
              <a16:creationId xmlns:a16="http://schemas.microsoft.com/office/drawing/2014/main" xmlns="" id="{F942036C-7421-495F-9C3C-6F8C9F7862FC}"/>
            </a:ext>
          </a:extLst>
        </xdr:cNvPr>
        <xdr:cNvGrpSpPr/>
      </xdr:nvGrpSpPr>
      <xdr:grpSpPr>
        <a:xfrm>
          <a:off x="0" y="0"/>
          <a:ext cx="7781543" cy="4267962"/>
          <a:chOff x="0" y="0"/>
          <a:chExt cx="7781543" cy="4439412"/>
        </a:xfrm>
      </xdr:grpSpPr>
      <xdr:sp macro="" textlink="">
        <xdr:nvSpPr>
          <xdr:cNvPr id="3" name="txt_WalkMeHeader" descr="These are all good questions but for the moment, lets focus on just one question.">
            <a:extLst>
              <a:ext uri="{FF2B5EF4-FFF2-40B4-BE49-F238E27FC236}">
                <a16:creationId xmlns:a16="http://schemas.microsoft.com/office/drawing/2014/main" xmlns="" id="{149D9821-1DFB-4DB4-A5CE-B5792B4FDE42}"/>
              </a:ext>
            </a:extLst>
          </xdr:cNvPr>
          <xdr:cNvSpPr txBox="1"/>
        </xdr:nvSpPr>
        <xdr:spPr>
          <a:xfrm>
            <a:off x="0" y="0"/>
            <a:ext cx="7781543" cy="795527"/>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500" b="0" kern="1200" baseline="0">
                <a:solidFill>
                  <a:schemeClr val="dk1"/>
                </a:solidFill>
                <a:effectLst/>
                <a:latin typeface="Segoe UI Semibold" panose="020B0702040204020203" pitchFamily="34" charset="0"/>
                <a:ea typeface="+mn-ea"/>
                <a:cs typeface="Segoe UI Semibold" panose="020B0702040204020203" pitchFamily="34" charset="0"/>
              </a:rPr>
              <a:t>These are all good questions, </a:t>
            </a:r>
            <a:r>
              <a:rPr lang="en-US" sz="1500" b="0" kern="1200" baseline="0">
                <a:solidFill>
                  <a:schemeClr val="dk1"/>
                </a:solidFill>
                <a:effectLst/>
                <a:latin typeface="Segoe UI Light" panose="020B0502040204020203" pitchFamily="34" charset="0"/>
                <a:ea typeface="+mn-ea"/>
                <a:cs typeface="Segoe UI Light" panose="020B0502040204020203" pitchFamily="34" charset="0"/>
              </a:rPr>
              <a:t>but for the moment let's focus on just one question...</a:t>
            </a:r>
            <a:endParaRPr lang="sq-AL" sz="1500">
              <a:effectLst/>
              <a:latin typeface="Segoe UI Light" panose="020B0502040204020203" pitchFamily="34" charset="0"/>
              <a:cs typeface="Segoe UI Light" panose="020B0502040204020203" pitchFamily="34" charset="0"/>
            </a:endParaRPr>
          </a:p>
        </xdr:txBody>
      </xdr:sp>
      <xdr:sp macro="" textlink="">
        <xdr:nvSpPr>
          <xdr:cNvPr id="4" name="txt_WalkMeFooter">
            <a:extLst>
              <a:ext uri="{FF2B5EF4-FFF2-40B4-BE49-F238E27FC236}">
                <a16:creationId xmlns:a16="http://schemas.microsoft.com/office/drawing/2014/main" xmlns="" id="{1CFDC5C8-782F-415C-90B2-D716F894C9BE}"/>
              </a:ext>
            </a:extLst>
          </xdr:cNvPr>
          <xdr:cNvSpPr txBox="1"/>
        </xdr:nvSpPr>
        <xdr:spPr>
          <a:xfrm>
            <a:off x="0" y="3600450"/>
            <a:ext cx="7781543" cy="66751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
              <a:ea typeface="Segoe UI" pitchFamily="34" charset="0"/>
              <a:cs typeface="Segoe UI Light" panose="020B0502040204020203" pitchFamily="34" charset="0"/>
            </a:endParaRPr>
          </a:p>
        </xdr:txBody>
      </xdr:sp>
      <xdr:sp macro="" textlink="">
        <xdr:nvSpPr>
          <xdr:cNvPr id="5" name="txt_WalkMeNext" descr="Next step button, hyperlinked to next sheet">
            <a:hlinkClick xmlns:r="http://schemas.openxmlformats.org/officeDocument/2006/relationships" r:id="rId1" tooltip="Click here to go to the next sheet"/>
            <a:extLst>
              <a:ext uri="{FF2B5EF4-FFF2-40B4-BE49-F238E27FC236}">
                <a16:creationId xmlns:a16="http://schemas.microsoft.com/office/drawing/2014/main" xmlns="" id="{43212DFD-C5DE-43CE-A271-02A7CB414754}"/>
              </a:ext>
            </a:extLst>
          </xdr:cNvPr>
          <xdr:cNvSpPr/>
        </xdr:nvSpPr>
        <xdr:spPr>
          <a:xfrm>
            <a:off x="6261100" y="3755898"/>
            <a:ext cx="1207008" cy="3566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sp macro="" textlink="">
        <xdr:nvSpPr>
          <xdr:cNvPr id="6" name="txt_WalkMePrevious" descr="Previous step button, hyperlinked to previous sheet">
            <a:hlinkClick xmlns:r="http://schemas.openxmlformats.org/officeDocument/2006/relationships" r:id="rId2" tooltip="Click here to go back to the previous sheet"/>
            <a:extLst>
              <a:ext uri="{FF2B5EF4-FFF2-40B4-BE49-F238E27FC236}">
                <a16:creationId xmlns:a16="http://schemas.microsoft.com/office/drawing/2014/main" xmlns="" id="{DADDE59F-6E50-4FE7-9ED5-6123AA502BB3}"/>
              </a:ext>
            </a:extLst>
          </xdr:cNvPr>
          <xdr:cNvSpPr/>
        </xdr:nvSpPr>
        <xdr:spPr>
          <a:xfrm flipH="1">
            <a:off x="304800" y="3755898"/>
            <a:ext cx="1207008" cy="3566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sp macro="" textlink="">
        <xdr:nvSpPr>
          <xdr:cNvPr id="7" name="txt_WalkMeFeedback" descr="Feedback button, hyperlinked to web form">
            <a:hlinkClick xmlns:r="http://schemas.openxmlformats.org/officeDocument/2006/relationships" r:id="rId3" tooltip="Click to give us feedback on this tutorial"/>
            <a:extLst>
              <a:ext uri="{FF2B5EF4-FFF2-40B4-BE49-F238E27FC236}">
                <a16:creationId xmlns:a16="http://schemas.microsoft.com/office/drawing/2014/main" xmlns="" id="{426B7BFB-84E9-4118-8DE4-2AFA50725B4B}"/>
              </a:ext>
            </a:extLst>
          </xdr:cNvPr>
          <xdr:cNvSpPr/>
        </xdr:nvSpPr>
        <xdr:spPr>
          <a:xfrm>
            <a:off x="3291839" y="4075938"/>
            <a:ext cx="1197864" cy="192024"/>
          </a:xfrm>
          <a:prstGeom prst="rect">
            <a:avLst/>
          </a:prstGeom>
          <a:solidFill>
            <a:schemeClr val="bg1">
              <a:lumMod val="85000"/>
            </a:schemeClr>
          </a:solidFill>
          <a:ln>
            <a:no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100" u="sng">
                <a:solidFill>
                  <a:sysClr val="windowText" lastClr="000000"/>
                </a:solidFill>
                <a:latin typeface="Segoe UI" panose="020B0502040204020203" pitchFamily="34" charset="0"/>
                <a:ea typeface="Segoe UI" pitchFamily="34" charset="0"/>
                <a:cs typeface="Segoe UI" pitchFamily="34" charset="0"/>
              </a:rPr>
              <a:t>Feedback</a:t>
            </a:r>
          </a:p>
        </xdr:txBody>
      </xdr:sp>
    </xdr:grpSp>
    <xdr:clientData/>
  </xdr:twoCellAnchor>
  <xdr:twoCellAnchor editAs="absolute">
    <xdr:from>
      <xdr:col>5</xdr:col>
      <xdr:colOff>57151</xdr:colOff>
      <xdr:row>5</xdr:row>
      <xdr:rowOff>85735</xdr:rowOff>
    </xdr:from>
    <xdr:to>
      <xdr:col>6</xdr:col>
      <xdr:colOff>950992</xdr:colOff>
      <xdr:row>8</xdr:row>
      <xdr:rowOff>33992</xdr:rowOff>
    </xdr:to>
    <xdr:sp macro="" textlink="">
      <xdr:nvSpPr>
        <xdr:cNvPr id="8" name="txt_WalkMeCallout1" descr="What did each person spend money on?">
          <a:extLst>
            <a:ext uri="{FF2B5EF4-FFF2-40B4-BE49-F238E27FC236}">
              <a16:creationId xmlns:a16="http://schemas.microsoft.com/office/drawing/2014/main" xmlns="" id="{6B19DEDE-7BD2-478E-A21D-2C849B5C2DE5}"/>
            </a:ext>
          </a:extLst>
        </xdr:cNvPr>
        <xdr:cNvSpPr txBox="1"/>
      </xdr:nvSpPr>
      <xdr:spPr>
        <a:xfrm>
          <a:off x="3057526" y="1028710"/>
          <a:ext cx="1646316" cy="510232"/>
        </a:xfrm>
        <a:prstGeom prst="rect">
          <a:avLst/>
        </a:prstGeom>
        <a:solidFill>
          <a:srgbClr val="F4B183"/>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Calibri" panose="020F0502020204030204" pitchFamily="34" charset="0"/>
              <a:ea typeface="Calibri" panose="020F0502020204030204" pitchFamily="34" charset="0"/>
              <a:cs typeface="Calibri" panose="020F0502020204030204" pitchFamily="34" charset="0"/>
            </a:rPr>
            <a:t>What did each person spend money on?</a:t>
          </a:r>
        </a:p>
      </xdr:txBody>
    </xdr:sp>
    <xdr:clientData/>
  </xdr:twoCellAnchor>
  <xdr:twoCellAnchor editAs="absolute">
    <xdr:from>
      <xdr:col>5</xdr:col>
      <xdr:colOff>223083</xdr:colOff>
      <xdr:row>8</xdr:row>
      <xdr:rowOff>47630</xdr:rowOff>
    </xdr:from>
    <xdr:to>
      <xdr:col>5</xdr:col>
      <xdr:colOff>223083</xdr:colOff>
      <xdr:row>9</xdr:row>
      <xdr:rowOff>145963</xdr:rowOff>
    </xdr:to>
    <xdr:cxnSp macro="">
      <xdr:nvCxnSpPr>
        <xdr:cNvPr id="9" name="shp_ArrowStraight">
          <a:extLst>
            <a:ext uri="{FF2B5EF4-FFF2-40B4-BE49-F238E27FC236}">
              <a16:creationId xmlns:a16="http://schemas.microsoft.com/office/drawing/2014/main" xmlns="" id="{83B21BB8-E608-457D-9D3A-FEF2ED6141E8}"/>
            </a:ext>
          </a:extLst>
        </xdr:cNvPr>
        <xdr:cNvCxnSpPr/>
      </xdr:nvCxnSpPr>
      <xdr:spPr>
        <a:xfrm flipV="1">
          <a:off x="3223458" y="1552580"/>
          <a:ext cx="0" cy="288833"/>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12</xdr:col>
      <xdr:colOff>323468</xdr:colOff>
      <xdr:row>22</xdr:row>
      <xdr:rowOff>96012</xdr:rowOff>
    </xdr:to>
    <xdr:grpSp>
      <xdr:nvGrpSpPr>
        <xdr:cNvPr id="2" name="grp_WalkMe">
          <a:extLst>
            <a:ext uri="{FF2B5EF4-FFF2-40B4-BE49-F238E27FC236}">
              <a16:creationId xmlns:a16="http://schemas.microsoft.com/office/drawing/2014/main" xmlns="" id="{287FBF77-CF25-4F77-AA42-CBBA38FFCDBF}"/>
            </a:ext>
          </a:extLst>
        </xdr:cNvPr>
        <xdr:cNvGrpSpPr/>
      </xdr:nvGrpSpPr>
      <xdr:grpSpPr>
        <a:xfrm>
          <a:off x="0" y="0"/>
          <a:ext cx="7781543" cy="4334637"/>
          <a:chOff x="0" y="0"/>
          <a:chExt cx="7781543" cy="4439412"/>
        </a:xfrm>
      </xdr:grpSpPr>
      <xdr:sp macro="" textlink="">
        <xdr:nvSpPr>
          <xdr:cNvPr id="3" name="txt_WalkMeHeader" descr="We answered that question by adding a column field. As a result, the PivotTable now has six new columns that show us the type of purchase made by each person. ">
            <a:extLst>
              <a:ext uri="{FF2B5EF4-FFF2-40B4-BE49-F238E27FC236}">
                <a16:creationId xmlns:a16="http://schemas.microsoft.com/office/drawing/2014/main" xmlns="" id="{6537BD41-8383-4C39-AF91-256848B3D16A}"/>
              </a:ext>
            </a:extLst>
          </xdr:cNvPr>
          <xdr:cNvSpPr txBox="1"/>
        </xdr:nvSpPr>
        <xdr:spPr>
          <a:xfrm>
            <a:off x="0" y="0"/>
            <a:ext cx="7781543"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500" b="0" kern="1200" baseline="0">
                <a:solidFill>
                  <a:schemeClr val="dk1"/>
                </a:solidFill>
                <a:effectLst/>
                <a:latin typeface="Segoe UI Semibold" panose="020B0702040204020203" pitchFamily="34" charset="0"/>
                <a:ea typeface="+mn-ea"/>
                <a:cs typeface="Segoe UI Semibold" panose="020B0702040204020203" pitchFamily="34" charset="0"/>
              </a:rPr>
              <a:t>We answered that question by adding a </a:t>
            </a:r>
            <a:r>
              <a:rPr lang="en-US" sz="1500" b="0" i="1" kern="1200" baseline="0">
                <a:solidFill>
                  <a:schemeClr val="dk1"/>
                </a:solidFill>
                <a:effectLst/>
                <a:latin typeface="Segoe UI Semibold" panose="020B0702040204020203" pitchFamily="34" charset="0"/>
                <a:ea typeface="+mn-ea"/>
                <a:cs typeface="Segoe UI Semibold" panose="020B0702040204020203" pitchFamily="34" charset="0"/>
              </a:rPr>
              <a:t>column field</a:t>
            </a:r>
            <a:r>
              <a:rPr lang="en-US" sz="1500" b="0" kern="1200" baseline="0">
                <a:solidFill>
                  <a:schemeClr val="dk1"/>
                </a:solidFill>
                <a:effectLst/>
                <a:latin typeface="Segoe UI Semibold" panose="020B0702040204020203" pitchFamily="34" charset="0"/>
                <a:ea typeface="+mn-ea"/>
                <a:cs typeface="Segoe UI Semibold" panose="020B0702040204020203" pitchFamily="34" charset="0"/>
              </a:rPr>
              <a:t>. </a:t>
            </a:r>
            <a:r>
              <a:rPr lang="en-US" sz="1500" b="0" kern="1200" baseline="0">
                <a:solidFill>
                  <a:schemeClr val="dk1"/>
                </a:solidFill>
                <a:effectLst/>
                <a:latin typeface="Segoe UI Light" panose="020B0502040204020203" pitchFamily="34" charset="0"/>
                <a:ea typeface="+mn-ea"/>
                <a:cs typeface="Segoe UI Light" panose="020B0502040204020203" pitchFamily="34" charset="0"/>
              </a:rPr>
              <a:t>As a result, the PivotTable now has five new columns that show us the type of purchase made by each person. </a:t>
            </a:r>
            <a:endParaRPr lang="en-US" sz="1500">
              <a:effectLst/>
              <a:latin typeface="Segoe UI Light" panose="020B0502040204020203" pitchFamily="34" charset="0"/>
              <a:cs typeface="Segoe UI Light" panose="020B0502040204020203" pitchFamily="34" charset="0"/>
            </a:endParaRPr>
          </a:p>
        </xdr:txBody>
      </xdr:sp>
      <xdr:sp macro="" textlink="">
        <xdr:nvSpPr>
          <xdr:cNvPr id="4" name="txt_WalkMeFooter">
            <a:extLst>
              <a:ext uri="{FF2B5EF4-FFF2-40B4-BE49-F238E27FC236}">
                <a16:creationId xmlns:a16="http://schemas.microsoft.com/office/drawing/2014/main" xmlns="" id="{92385B1E-D1F0-4419-9FD0-82877C8E5813}"/>
              </a:ext>
            </a:extLst>
          </xdr:cNvPr>
          <xdr:cNvSpPr txBox="1"/>
        </xdr:nvSpPr>
        <xdr:spPr>
          <a:xfrm>
            <a:off x="0" y="3667125"/>
            <a:ext cx="7781543" cy="66751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
              <a:ea typeface="Segoe UI" pitchFamily="34" charset="0"/>
              <a:cs typeface="Segoe UI Light" panose="020B0502040204020203" pitchFamily="34" charset="0"/>
            </a:endParaRPr>
          </a:p>
        </xdr:txBody>
      </xdr:sp>
      <xdr:sp macro="" textlink="">
        <xdr:nvSpPr>
          <xdr:cNvPr id="5" name="txt_WalkMeNext" descr="Next step button, hyperlinked to next sheet">
            <a:hlinkClick xmlns:r="http://schemas.openxmlformats.org/officeDocument/2006/relationships" r:id="rId1" tooltip="Click here to go to the next sheet"/>
            <a:extLst>
              <a:ext uri="{FF2B5EF4-FFF2-40B4-BE49-F238E27FC236}">
                <a16:creationId xmlns:a16="http://schemas.microsoft.com/office/drawing/2014/main" xmlns="" id="{136E97C1-0EA3-424E-A4A5-2AAEEE12945A}"/>
              </a:ext>
            </a:extLst>
          </xdr:cNvPr>
          <xdr:cNvSpPr/>
        </xdr:nvSpPr>
        <xdr:spPr>
          <a:xfrm>
            <a:off x="6261100" y="3822573"/>
            <a:ext cx="1207008" cy="3566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sp macro="" textlink="">
        <xdr:nvSpPr>
          <xdr:cNvPr id="6" name="txt_WalkMePrevious" descr="Previous step button, hyperlinked to previous sheet">
            <a:hlinkClick xmlns:r="http://schemas.openxmlformats.org/officeDocument/2006/relationships" r:id="rId2" tooltip="Click here to go back to the previous sheet"/>
            <a:extLst>
              <a:ext uri="{FF2B5EF4-FFF2-40B4-BE49-F238E27FC236}">
                <a16:creationId xmlns:a16="http://schemas.microsoft.com/office/drawing/2014/main" xmlns="" id="{3E387804-D621-4881-8001-D6BF20E020E9}"/>
              </a:ext>
            </a:extLst>
          </xdr:cNvPr>
          <xdr:cNvSpPr/>
        </xdr:nvSpPr>
        <xdr:spPr>
          <a:xfrm flipH="1">
            <a:off x="304800" y="3822573"/>
            <a:ext cx="1207008" cy="3566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sp macro="" textlink="">
        <xdr:nvSpPr>
          <xdr:cNvPr id="7" name="txt_WalkMeFeedback" descr="Feedback button, hyperlinked to web form">
            <a:hlinkClick xmlns:r="http://schemas.openxmlformats.org/officeDocument/2006/relationships" r:id="rId3" tooltip="Click to give us feedback on this tutorial"/>
            <a:extLst>
              <a:ext uri="{FF2B5EF4-FFF2-40B4-BE49-F238E27FC236}">
                <a16:creationId xmlns:a16="http://schemas.microsoft.com/office/drawing/2014/main" xmlns="" id="{5152C1AF-FBD3-46F0-B536-842CFAB590AB}"/>
              </a:ext>
            </a:extLst>
          </xdr:cNvPr>
          <xdr:cNvSpPr/>
        </xdr:nvSpPr>
        <xdr:spPr>
          <a:xfrm>
            <a:off x="3291839" y="4142613"/>
            <a:ext cx="1197864" cy="192024"/>
          </a:xfrm>
          <a:prstGeom prst="rect">
            <a:avLst/>
          </a:prstGeom>
          <a:solidFill>
            <a:schemeClr val="bg1">
              <a:lumMod val="85000"/>
            </a:schemeClr>
          </a:solidFill>
          <a:ln>
            <a:no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100" u="sng">
                <a:solidFill>
                  <a:sysClr val="windowText" lastClr="000000"/>
                </a:solidFill>
                <a:latin typeface="Segoe UI" panose="020B0502040204020203" pitchFamily="34" charset="0"/>
                <a:ea typeface="Segoe UI" pitchFamily="34" charset="0"/>
                <a:cs typeface="Segoe UI" pitchFamily="34" charset="0"/>
              </a:rPr>
              <a:t>Feedback</a:t>
            </a:r>
          </a:p>
        </xdr:txBody>
      </xdr:sp>
    </xdr:grpSp>
    <xdr:clientData/>
  </xdr:twoCellAnchor>
  <xdr:twoCellAnchor editAs="absolute">
    <xdr:from>
      <xdr:col>3</xdr:col>
      <xdr:colOff>32384</xdr:colOff>
      <xdr:row>7</xdr:row>
      <xdr:rowOff>103298</xdr:rowOff>
    </xdr:from>
    <xdr:to>
      <xdr:col>7</xdr:col>
      <xdr:colOff>504823</xdr:colOff>
      <xdr:row>8</xdr:row>
      <xdr:rowOff>175265</xdr:rowOff>
    </xdr:to>
    <xdr:sp macro="" textlink="">
      <xdr:nvSpPr>
        <xdr:cNvPr id="8" name="shp_BraceBottom">
          <a:extLst>
            <a:ext uri="{FF2B5EF4-FFF2-40B4-BE49-F238E27FC236}">
              <a16:creationId xmlns:a16="http://schemas.microsoft.com/office/drawing/2014/main" xmlns="" id="{071B50CA-115B-4CE2-B290-919494A649EC}"/>
            </a:ext>
          </a:extLst>
        </xdr:cNvPr>
        <xdr:cNvSpPr/>
      </xdr:nvSpPr>
      <xdr:spPr>
        <a:xfrm rot="5400000">
          <a:off x="3356820" y="369787"/>
          <a:ext cx="262467" cy="2491739"/>
        </a:xfrm>
        <a:prstGeom prst="leftBrace">
          <a:avLst>
            <a:gd name="adj1" fmla="val 34667"/>
            <a:gd name="adj2" fmla="val 49712"/>
          </a:avLst>
        </a:prstGeom>
        <a:ln w="19050">
          <a:solidFill>
            <a:srgbClr val="217346"/>
          </a:solidFill>
          <a:prstDash val="sysDot"/>
          <a:headEnd type="non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marL="0" indent="0" algn="l"/>
          <a:endParaRPr lang="en-US" sz="1100">
            <a:solidFill>
              <a:schemeClr val="tx1"/>
            </a:solidFill>
            <a:latin typeface="+mn-lt"/>
            <a:ea typeface="+mn-ea"/>
            <a:cs typeface="+mn-cs"/>
          </a:endParaRPr>
        </a:p>
      </xdr:txBody>
    </xdr:sp>
    <xdr:clientData/>
  </xdr:twoCellAnchor>
  <xdr:twoCellAnchor editAs="absolute">
    <xdr:from>
      <xdr:col>3</xdr:col>
      <xdr:colOff>10482</xdr:colOff>
      <xdr:row>5</xdr:row>
      <xdr:rowOff>114299</xdr:rowOff>
    </xdr:from>
    <xdr:to>
      <xdr:col>8</xdr:col>
      <xdr:colOff>35399</xdr:colOff>
      <xdr:row>6</xdr:row>
      <xdr:rowOff>192058</xdr:rowOff>
    </xdr:to>
    <xdr:sp macro="" textlink="">
      <xdr:nvSpPr>
        <xdr:cNvPr id="9" name="Tip Text 23" descr="We added a column field here, which gave us six new columns...">
          <a:extLst>
            <a:ext uri="{FF2B5EF4-FFF2-40B4-BE49-F238E27FC236}">
              <a16:creationId xmlns:a16="http://schemas.microsoft.com/office/drawing/2014/main" xmlns="" id="{ECFF4DD8-638D-4ACA-8310-AFC847809DF2}"/>
            </a:ext>
          </a:extLst>
        </xdr:cNvPr>
        <xdr:cNvSpPr txBox="1"/>
      </xdr:nvSpPr>
      <xdr:spPr>
        <a:xfrm>
          <a:off x="2220282" y="1066799"/>
          <a:ext cx="2549042" cy="268259"/>
        </a:xfrm>
        <a:prstGeom prst="rect">
          <a:avLst/>
        </a:prstGeom>
        <a:no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b="0" baseline="0" noProof="0">
              <a:effectLst/>
              <a:latin typeface="Calibri" panose="020F0502020204030204" pitchFamily="34" charset="0"/>
              <a:ea typeface="Calibri" panose="020F0502020204030204" pitchFamily="34" charset="0"/>
              <a:cs typeface="Calibri" panose="020F0502020204030204" pitchFamily="34" charset="0"/>
            </a:rPr>
            <a:t>We added a </a:t>
          </a:r>
          <a:r>
            <a:rPr lang="en-US" sz="1100" b="1" baseline="0" noProof="0">
              <a:effectLst/>
              <a:latin typeface="Calibri" panose="020F0502020204030204" pitchFamily="34" charset="0"/>
              <a:ea typeface="Calibri" panose="020F0502020204030204" pitchFamily="34" charset="0"/>
              <a:cs typeface="Calibri" panose="020F0502020204030204" pitchFamily="34" charset="0"/>
            </a:rPr>
            <a:t>column field </a:t>
          </a:r>
          <a:r>
            <a:rPr lang="en-US" sz="1100" b="0" baseline="0" noProof="0">
              <a:effectLst/>
              <a:latin typeface="Calibri" panose="020F0502020204030204" pitchFamily="34" charset="0"/>
              <a:ea typeface="Calibri" panose="020F0502020204030204" pitchFamily="34" charset="0"/>
              <a:cs typeface="Calibri" panose="020F0502020204030204" pitchFamily="34" charset="0"/>
            </a:rPr>
            <a:t>here, which gave us five new columns...</a:t>
          </a:r>
          <a:endParaRPr lang="en-US" sz="1100" b="0" noProof="0">
            <a:effectLst/>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absolute">
    <xdr:from>
      <xdr:col>2</xdr:col>
      <xdr:colOff>735330</xdr:colOff>
      <xdr:row>16</xdr:row>
      <xdr:rowOff>127213</xdr:rowOff>
    </xdr:from>
    <xdr:to>
      <xdr:col>8</xdr:col>
      <xdr:colOff>280253</xdr:colOff>
      <xdr:row>18</xdr:row>
      <xdr:rowOff>54477</xdr:rowOff>
    </xdr:to>
    <xdr:sp macro="" textlink="">
      <xdr:nvSpPr>
        <xdr:cNvPr id="10" name="Tip Text 24" descr="...and the value field is broken down even further.">
          <a:extLst>
            <a:ext uri="{FF2B5EF4-FFF2-40B4-BE49-F238E27FC236}">
              <a16:creationId xmlns:a16="http://schemas.microsoft.com/office/drawing/2014/main" xmlns="" id="{F0F91064-DAF7-41E9-AD09-A7A90D7CA46A}"/>
            </a:ext>
          </a:extLst>
        </xdr:cNvPr>
        <xdr:cNvSpPr txBox="1"/>
      </xdr:nvSpPr>
      <xdr:spPr>
        <a:xfrm>
          <a:off x="1954530" y="3222838"/>
          <a:ext cx="3059648" cy="308264"/>
        </a:xfrm>
        <a:prstGeom prst="rect">
          <a:avLst/>
        </a:prstGeom>
        <a:no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b="0" noProof="0">
              <a:effectLst/>
              <a:latin typeface="Calibri" panose="020F0502020204030204" pitchFamily="34" charset="0"/>
              <a:ea typeface="Calibri" panose="020F0502020204030204" pitchFamily="34" charset="0"/>
              <a:cs typeface="Calibri" panose="020F0502020204030204" pitchFamily="34" charset="0"/>
            </a:rPr>
            <a:t>...and the value field is broken up even further.</a:t>
          </a:r>
          <a:endParaRPr lang="en-US" sz="1100" noProof="0">
            <a:effectLst/>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absolute">
    <xdr:from>
      <xdr:col>3</xdr:col>
      <xdr:colOff>32384</xdr:colOff>
      <xdr:row>15</xdr:row>
      <xdr:rowOff>17571</xdr:rowOff>
    </xdr:from>
    <xdr:to>
      <xdr:col>8</xdr:col>
      <xdr:colOff>0</xdr:colOff>
      <xdr:row>16</xdr:row>
      <xdr:rowOff>89538</xdr:rowOff>
    </xdr:to>
    <xdr:sp macro="" textlink="">
      <xdr:nvSpPr>
        <xdr:cNvPr id="11" name="shp_BraceBottom">
          <a:extLst>
            <a:ext uri="{FF2B5EF4-FFF2-40B4-BE49-F238E27FC236}">
              <a16:creationId xmlns:a16="http://schemas.microsoft.com/office/drawing/2014/main" xmlns="" id="{F7BA2FAD-C065-43D6-9BE0-EAC92BC18787}"/>
            </a:ext>
          </a:extLst>
        </xdr:cNvPr>
        <xdr:cNvSpPr/>
      </xdr:nvSpPr>
      <xdr:spPr>
        <a:xfrm rot="16200000">
          <a:off x="3356821" y="1808059"/>
          <a:ext cx="262467" cy="2491741"/>
        </a:xfrm>
        <a:prstGeom prst="leftBrace">
          <a:avLst>
            <a:gd name="adj1" fmla="val 34667"/>
            <a:gd name="adj2" fmla="val 49712"/>
          </a:avLst>
        </a:prstGeom>
        <a:ln w="19050">
          <a:solidFill>
            <a:srgbClr val="217346"/>
          </a:solidFill>
          <a:prstDash val="sysDot"/>
          <a:headEnd type="non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marL="0" indent="0" algn="l"/>
          <a:endParaRPr lang="en-US" sz="1100">
            <a:solidFill>
              <a:schemeClr val="tx1"/>
            </a:solidFill>
            <a:latin typeface="+mn-lt"/>
            <a:ea typeface="+mn-ea"/>
            <a:cs typeface="+mn-cs"/>
          </a:endParaRPr>
        </a:p>
      </xdr:txBody>
    </xdr:sp>
    <xdr:clientData/>
  </xdr:twoCellAnchor>
</xdr:wsDr>
</file>

<file path=xl/drawings/drawing6.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12</xdr:col>
      <xdr:colOff>285368</xdr:colOff>
      <xdr:row>22</xdr:row>
      <xdr:rowOff>96012</xdr:rowOff>
    </xdr:to>
    <xdr:grpSp>
      <xdr:nvGrpSpPr>
        <xdr:cNvPr id="2" name="grp_WalkMe">
          <a:extLst>
            <a:ext uri="{FF2B5EF4-FFF2-40B4-BE49-F238E27FC236}">
              <a16:creationId xmlns:a16="http://schemas.microsoft.com/office/drawing/2014/main" xmlns="" id="{F75013C0-E90E-42BA-AC1B-34621962D482}"/>
            </a:ext>
          </a:extLst>
        </xdr:cNvPr>
        <xdr:cNvGrpSpPr/>
      </xdr:nvGrpSpPr>
      <xdr:grpSpPr>
        <a:xfrm>
          <a:off x="0" y="0"/>
          <a:ext cx="7781543" cy="4334637"/>
          <a:chOff x="0" y="0"/>
          <a:chExt cx="7781543" cy="4439412"/>
        </a:xfrm>
      </xdr:grpSpPr>
      <xdr:sp macro="" textlink="">
        <xdr:nvSpPr>
          <xdr:cNvPr id="3" name="txt_WalkMeHeader" descr="We answered that question by adding a column field. As a result, the PivotTable now has six new columns that show us the type of purchase made by each person. ">
            <a:extLst>
              <a:ext uri="{FF2B5EF4-FFF2-40B4-BE49-F238E27FC236}">
                <a16:creationId xmlns:a16="http://schemas.microsoft.com/office/drawing/2014/main" xmlns="" id="{0FF3D9FD-DCDA-4E35-8D5D-FC9656F5DEE3}"/>
              </a:ext>
            </a:extLst>
          </xdr:cNvPr>
          <xdr:cNvSpPr txBox="1"/>
        </xdr:nvSpPr>
        <xdr:spPr>
          <a:xfrm>
            <a:off x="0" y="0"/>
            <a:ext cx="7781543"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500" b="0" kern="1200" baseline="0">
                <a:solidFill>
                  <a:schemeClr val="dk1"/>
                </a:solidFill>
                <a:effectLst/>
                <a:latin typeface="Segoe UI Semibold" panose="020B0702040204020203" pitchFamily="34" charset="0"/>
                <a:ea typeface="+mn-ea"/>
                <a:cs typeface="Segoe UI Semibold" panose="020B0702040204020203" pitchFamily="34" charset="0"/>
              </a:rPr>
              <a:t>If the PivotTable is hard to understand, try this: </a:t>
            </a:r>
            <a:r>
              <a:rPr lang="en-US" sz="1500" b="0" kern="1200" baseline="0">
                <a:solidFill>
                  <a:schemeClr val="dk1"/>
                </a:solidFill>
                <a:effectLst/>
                <a:latin typeface="Segoe UI Light" panose="020B0502040204020203" pitchFamily="34" charset="0"/>
                <a:ea typeface="+mn-ea"/>
                <a:cs typeface="Segoe UI Light" panose="020B0502040204020203" pitchFamily="34" charset="0"/>
              </a:rPr>
              <a:t>Read from the </a:t>
            </a:r>
            <a:r>
              <a:rPr lang="en-US" sz="1500" b="0" i="1" kern="1200" baseline="0">
                <a:solidFill>
                  <a:schemeClr val="dk1"/>
                </a:solidFill>
                <a:effectLst/>
                <a:latin typeface="Segoe UI Light" panose="020B0502040204020203" pitchFamily="34" charset="0"/>
                <a:ea typeface="+mn-ea"/>
                <a:cs typeface="Segoe UI Light" panose="020B0502040204020203" pitchFamily="34" charset="0"/>
              </a:rPr>
              <a:t>left</a:t>
            </a:r>
            <a:r>
              <a:rPr lang="en-US" sz="1500" b="0" kern="1200" baseline="0">
                <a:solidFill>
                  <a:schemeClr val="dk1"/>
                </a:solidFill>
                <a:effectLst/>
                <a:latin typeface="Segoe UI Light" panose="020B0502040204020203" pitchFamily="34" charset="0"/>
                <a:ea typeface="+mn-ea"/>
                <a:cs typeface="Segoe UI Light" panose="020B0502040204020203" pitchFamily="34" charset="0"/>
              </a:rPr>
              <a:t>, then from the </a:t>
            </a:r>
            <a:r>
              <a:rPr lang="en-US" sz="1500" b="0" i="1" kern="1200" baseline="0">
                <a:solidFill>
                  <a:schemeClr val="dk1"/>
                </a:solidFill>
                <a:effectLst/>
                <a:latin typeface="Segoe UI Light" panose="020B0502040204020203" pitchFamily="34" charset="0"/>
                <a:ea typeface="+mn-ea"/>
                <a:cs typeface="Segoe UI Light" panose="020B0502040204020203" pitchFamily="34" charset="0"/>
              </a:rPr>
              <a:t>top</a:t>
            </a:r>
            <a:r>
              <a:rPr lang="en-US" sz="1500" b="0" kern="1200" baseline="0">
                <a:solidFill>
                  <a:schemeClr val="dk1"/>
                </a:solidFill>
                <a:effectLst/>
                <a:latin typeface="Segoe UI Light" panose="020B0502040204020203" pitchFamily="34" charset="0"/>
                <a:ea typeface="+mn-ea"/>
                <a:cs typeface="Segoe UI Light" panose="020B0502040204020203" pitchFamily="34" charset="0"/>
              </a:rPr>
              <a:t>, and then </a:t>
            </a:r>
            <a:r>
              <a:rPr lang="en-US" sz="1500" b="0" i="1" kern="1200" baseline="0">
                <a:solidFill>
                  <a:schemeClr val="dk1"/>
                </a:solidFill>
                <a:effectLst/>
                <a:latin typeface="Segoe UI Light" panose="020B0502040204020203" pitchFamily="34" charset="0"/>
                <a:ea typeface="+mn-ea"/>
                <a:cs typeface="Segoe UI Light" panose="020B0502040204020203" pitchFamily="34" charset="0"/>
              </a:rPr>
              <a:t>down</a:t>
            </a:r>
            <a:r>
              <a:rPr lang="en-US" sz="1500" b="0" kern="1200" baseline="0">
                <a:solidFill>
                  <a:schemeClr val="dk1"/>
                </a:solidFill>
                <a:effectLst/>
                <a:latin typeface="Segoe UI Light" panose="020B0502040204020203" pitchFamily="34" charset="0"/>
                <a:ea typeface="+mn-ea"/>
                <a:cs typeface="Segoe UI Light" panose="020B0502040204020203" pitchFamily="34" charset="0"/>
              </a:rPr>
              <a:t>. The example below is for Dad, but it would work for Kelly or Mom too. </a:t>
            </a:r>
            <a:endParaRPr lang="en-US" sz="1500">
              <a:effectLst/>
              <a:latin typeface="Segoe UI Light" panose="020B0502040204020203" pitchFamily="34" charset="0"/>
              <a:cs typeface="Segoe UI Light" panose="020B0502040204020203" pitchFamily="34" charset="0"/>
            </a:endParaRPr>
          </a:p>
        </xdr:txBody>
      </xdr:sp>
      <xdr:sp macro="" textlink="">
        <xdr:nvSpPr>
          <xdr:cNvPr id="4" name="txt_WalkMeFooter">
            <a:extLst>
              <a:ext uri="{FF2B5EF4-FFF2-40B4-BE49-F238E27FC236}">
                <a16:creationId xmlns:a16="http://schemas.microsoft.com/office/drawing/2014/main" xmlns="" id="{AC558208-29A5-4D92-974A-A85C1799A7DA}"/>
              </a:ext>
            </a:extLst>
          </xdr:cNvPr>
          <xdr:cNvSpPr txBox="1"/>
        </xdr:nvSpPr>
        <xdr:spPr>
          <a:xfrm>
            <a:off x="0" y="3667125"/>
            <a:ext cx="7781543" cy="66751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
              <a:ea typeface="Segoe UI" pitchFamily="34" charset="0"/>
              <a:cs typeface="Segoe UI Light" panose="020B0502040204020203" pitchFamily="34" charset="0"/>
            </a:endParaRPr>
          </a:p>
        </xdr:txBody>
      </xdr:sp>
      <xdr:sp macro="" textlink="">
        <xdr:nvSpPr>
          <xdr:cNvPr id="5" name="txt_WalkMeNext" descr="Next step button, hyperlinked to next sheet">
            <a:hlinkClick xmlns:r="http://schemas.openxmlformats.org/officeDocument/2006/relationships" r:id="rId1" tooltip="Click here to go to the next sheet"/>
            <a:extLst>
              <a:ext uri="{FF2B5EF4-FFF2-40B4-BE49-F238E27FC236}">
                <a16:creationId xmlns:a16="http://schemas.microsoft.com/office/drawing/2014/main" xmlns="" id="{BD296DEA-8DD2-407E-9128-9F5A7978A4B8}"/>
              </a:ext>
            </a:extLst>
          </xdr:cNvPr>
          <xdr:cNvSpPr/>
        </xdr:nvSpPr>
        <xdr:spPr>
          <a:xfrm>
            <a:off x="6261100" y="3822573"/>
            <a:ext cx="1207008" cy="3566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sp macro="" textlink="">
        <xdr:nvSpPr>
          <xdr:cNvPr id="6" name="txt_WalkMePrevious" descr="Previous step button, hyperlinked to previous sheet">
            <a:hlinkClick xmlns:r="http://schemas.openxmlformats.org/officeDocument/2006/relationships" r:id="rId2" tooltip="Click here to go back to the previous sheet"/>
            <a:extLst>
              <a:ext uri="{FF2B5EF4-FFF2-40B4-BE49-F238E27FC236}">
                <a16:creationId xmlns:a16="http://schemas.microsoft.com/office/drawing/2014/main" xmlns="" id="{8AE76C43-6AA1-402A-943E-E00EBE358635}"/>
              </a:ext>
            </a:extLst>
          </xdr:cNvPr>
          <xdr:cNvSpPr/>
        </xdr:nvSpPr>
        <xdr:spPr>
          <a:xfrm flipH="1">
            <a:off x="304800" y="3822573"/>
            <a:ext cx="1207008" cy="3566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sp macro="" textlink="">
        <xdr:nvSpPr>
          <xdr:cNvPr id="7" name="txt_WalkMeFeedback" descr="Feedback button, hyperlinked to web form">
            <a:hlinkClick xmlns:r="http://schemas.openxmlformats.org/officeDocument/2006/relationships" r:id="rId3" tooltip="Click to give us feedback on this tutorial"/>
            <a:extLst>
              <a:ext uri="{FF2B5EF4-FFF2-40B4-BE49-F238E27FC236}">
                <a16:creationId xmlns:a16="http://schemas.microsoft.com/office/drawing/2014/main" xmlns="" id="{4163B594-EE39-4E3C-BEA7-3608FBE7AB85}"/>
              </a:ext>
            </a:extLst>
          </xdr:cNvPr>
          <xdr:cNvSpPr/>
        </xdr:nvSpPr>
        <xdr:spPr>
          <a:xfrm>
            <a:off x="3291839" y="4142613"/>
            <a:ext cx="1197864" cy="192024"/>
          </a:xfrm>
          <a:prstGeom prst="rect">
            <a:avLst/>
          </a:prstGeom>
          <a:solidFill>
            <a:schemeClr val="bg1">
              <a:lumMod val="85000"/>
            </a:schemeClr>
          </a:solidFill>
          <a:ln>
            <a:no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100" u="sng">
                <a:solidFill>
                  <a:sysClr val="windowText" lastClr="000000"/>
                </a:solidFill>
                <a:latin typeface="Segoe UI" panose="020B0502040204020203" pitchFamily="34" charset="0"/>
                <a:ea typeface="Segoe UI" pitchFamily="34" charset="0"/>
                <a:cs typeface="Segoe UI" pitchFamily="34" charset="0"/>
              </a:rPr>
              <a:t>Feedback</a:t>
            </a:r>
          </a:p>
        </xdr:txBody>
      </xdr:sp>
    </xdr:grpSp>
    <xdr:clientData/>
  </xdr:twoCellAnchor>
  <xdr:twoCellAnchor editAs="absolute">
    <xdr:from>
      <xdr:col>1</xdr:col>
      <xdr:colOff>598331</xdr:colOff>
      <xdr:row>5</xdr:row>
      <xdr:rowOff>85724</xdr:rowOff>
    </xdr:from>
    <xdr:to>
      <xdr:col>3</xdr:col>
      <xdr:colOff>295275</xdr:colOff>
      <xdr:row>6</xdr:row>
      <xdr:rowOff>163483</xdr:rowOff>
    </xdr:to>
    <xdr:sp macro="" textlink="">
      <xdr:nvSpPr>
        <xdr:cNvPr id="9" name="Tip Text 23" descr="We added a column field here, which gave us six new columns...">
          <a:extLst>
            <a:ext uri="{FF2B5EF4-FFF2-40B4-BE49-F238E27FC236}">
              <a16:creationId xmlns:a16="http://schemas.microsoft.com/office/drawing/2014/main" xmlns="" id="{DA7818BC-6F81-4A17-A351-4F43DF9175CB}"/>
            </a:ext>
          </a:extLst>
        </xdr:cNvPr>
        <xdr:cNvSpPr txBox="1"/>
      </xdr:nvSpPr>
      <xdr:spPr>
        <a:xfrm>
          <a:off x="1207931" y="1038224"/>
          <a:ext cx="1335244" cy="268259"/>
        </a:xfrm>
        <a:prstGeom prst="rect">
          <a:avLst/>
        </a:prstGeom>
        <a:noFill/>
        <a:ln w="9525">
          <a:noFill/>
          <a:miter lim="800000"/>
          <a:headEnd/>
          <a:tailEnd/>
        </a:ln>
      </xdr:spPr>
      <xdr:txBody>
        <a:bodyPr rot="0" vert="horz" wrap="square" lIns="91440" tIns="45720" rIns="91440" bIns="45720" anchor="ctr" anchorCtr="0">
          <a:noAutofit/>
        </a:bodyPr>
        <a:lstStyle/>
        <a:p>
          <a:pPr marL="0" marR="0" lvl="0" indent="0" algn="r" defTabSz="914400" eaLnBrk="1" fontAlgn="auto" latinLnBrk="0" hangingPunct="1">
            <a:lnSpc>
              <a:spcPct val="107000"/>
            </a:lnSpc>
            <a:spcBef>
              <a:spcPts val="0"/>
            </a:spcBef>
            <a:spcAft>
              <a:spcPts val="800"/>
            </a:spcAft>
            <a:buClrTx/>
            <a:buSzTx/>
            <a:buFontTx/>
            <a:buNone/>
            <a:tabLst/>
            <a:defRPr/>
          </a:pPr>
          <a:r>
            <a:rPr lang="en-US" sz="1100" b="0" baseline="0" noProof="0">
              <a:effectLst/>
              <a:latin typeface="Calibri" panose="020F0502020204030204" pitchFamily="34" charset="0"/>
              <a:ea typeface="Calibri" panose="020F0502020204030204" pitchFamily="34" charset="0"/>
              <a:cs typeface="Calibri" panose="020F0502020204030204" pitchFamily="34" charset="0"/>
            </a:rPr>
            <a:t>...spent this much on Food: $125.</a:t>
          </a:r>
          <a:endParaRPr lang="en-US" sz="1100" b="0" noProof="0">
            <a:effectLst/>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absolute">
    <xdr:from>
      <xdr:col>0</xdr:col>
      <xdr:colOff>104775</xdr:colOff>
      <xdr:row>9</xdr:row>
      <xdr:rowOff>172304</xdr:rowOff>
    </xdr:from>
    <xdr:to>
      <xdr:col>1</xdr:col>
      <xdr:colOff>601599</xdr:colOff>
      <xdr:row>11</xdr:row>
      <xdr:rowOff>111344</xdr:rowOff>
    </xdr:to>
    <xdr:sp macro="" textlink="">
      <xdr:nvSpPr>
        <xdr:cNvPr id="12" name="Tip Text 23" descr="This example shows how the row field...">
          <a:extLst>
            <a:ext uri="{FF2B5EF4-FFF2-40B4-BE49-F238E27FC236}">
              <a16:creationId xmlns:a16="http://schemas.microsoft.com/office/drawing/2014/main" xmlns="" id="{8ACDCFF1-EF53-4517-9699-D589F3E32140}"/>
            </a:ext>
          </a:extLst>
        </xdr:cNvPr>
        <xdr:cNvSpPr txBox="1"/>
      </xdr:nvSpPr>
      <xdr:spPr>
        <a:xfrm>
          <a:off x="104775" y="1934429"/>
          <a:ext cx="1106424" cy="320040"/>
        </a:xfrm>
        <a:prstGeom prst="rect">
          <a:avLst/>
        </a:prstGeom>
        <a:no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b="0" noProof="0">
              <a:effectLst/>
              <a:latin typeface="Calibri" panose="020F0502020204030204" pitchFamily="34" charset="0"/>
              <a:ea typeface="Calibri" panose="020F0502020204030204" pitchFamily="34" charset="0"/>
              <a:cs typeface="Calibri" panose="020F0502020204030204" pitchFamily="34" charset="0"/>
            </a:rPr>
            <a:t>Dad...</a:t>
          </a:r>
        </a:p>
      </xdr:txBody>
    </xdr:sp>
    <xdr:clientData/>
  </xdr:twoCellAnchor>
  <xdr:twoCellAnchor editAs="absolute">
    <xdr:from>
      <xdr:col>1</xdr:col>
      <xdr:colOff>21696</xdr:colOff>
      <xdr:row>7</xdr:row>
      <xdr:rowOff>133350</xdr:rowOff>
    </xdr:from>
    <xdr:to>
      <xdr:col>2</xdr:col>
      <xdr:colOff>64063</xdr:colOff>
      <xdr:row>11</xdr:row>
      <xdr:rowOff>175446</xdr:rowOff>
    </xdr:to>
    <xdr:sp macro="" textlink="">
      <xdr:nvSpPr>
        <xdr:cNvPr id="13" name="shp_ArrowCurved">
          <a:extLst>
            <a:ext uri="{FF2B5EF4-FFF2-40B4-BE49-F238E27FC236}">
              <a16:creationId xmlns:a16="http://schemas.microsoft.com/office/drawing/2014/main" xmlns="" id="{E44AD35B-A032-468F-A455-B3359A4F750B}"/>
            </a:ext>
          </a:extLst>
        </xdr:cNvPr>
        <xdr:cNvSpPr/>
      </xdr:nvSpPr>
      <xdr:spPr>
        <a:xfrm rot="13532850">
          <a:off x="574282" y="1571489"/>
          <a:ext cx="804096" cy="690067"/>
        </a:xfrm>
        <a:prstGeom prst="arc">
          <a:avLst>
            <a:gd name="adj1" fmla="val 11455374"/>
            <a:gd name="adj2" fmla="val 14914865"/>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latin typeface="Calibri" panose="020F0502020204030204" pitchFamily="34" charset="0"/>
          </a:endParaRPr>
        </a:p>
      </xdr:txBody>
    </xdr:sp>
    <xdr:clientData/>
  </xdr:twoCellAnchor>
  <xdr:twoCellAnchor editAs="absolute">
    <xdr:from>
      <xdr:col>3</xdr:col>
      <xdr:colOff>133350</xdr:colOff>
      <xdr:row>7</xdr:row>
      <xdr:rowOff>0</xdr:rowOff>
    </xdr:from>
    <xdr:to>
      <xdr:col>3</xdr:col>
      <xdr:colOff>133351</xdr:colOff>
      <xdr:row>8</xdr:row>
      <xdr:rowOff>98334</xdr:rowOff>
    </xdr:to>
    <xdr:cxnSp macro="">
      <xdr:nvCxnSpPr>
        <xdr:cNvPr id="14" name="shp_ArrowStraight">
          <a:extLst>
            <a:ext uri="{FF2B5EF4-FFF2-40B4-BE49-F238E27FC236}">
              <a16:creationId xmlns:a16="http://schemas.microsoft.com/office/drawing/2014/main" xmlns="" id="{8792D8A1-8378-4819-9CD8-EDC335A12C66}"/>
            </a:ext>
          </a:extLst>
        </xdr:cNvPr>
        <xdr:cNvCxnSpPr/>
      </xdr:nvCxnSpPr>
      <xdr:spPr>
        <a:xfrm flipH="1" flipV="1">
          <a:off x="2381250" y="1381125"/>
          <a:ext cx="1" cy="288834"/>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4</xdr:col>
      <xdr:colOff>295275</xdr:colOff>
      <xdr:row>7</xdr:row>
      <xdr:rowOff>0</xdr:rowOff>
    </xdr:from>
    <xdr:to>
      <xdr:col>4</xdr:col>
      <xdr:colOff>295275</xdr:colOff>
      <xdr:row>8</xdr:row>
      <xdr:rowOff>98333</xdr:rowOff>
    </xdr:to>
    <xdr:cxnSp macro="">
      <xdr:nvCxnSpPr>
        <xdr:cNvPr id="16" name="shp_ArrowStraight">
          <a:extLst>
            <a:ext uri="{FF2B5EF4-FFF2-40B4-BE49-F238E27FC236}">
              <a16:creationId xmlns:a16="http://schemas.microsoft.com/office/drawing/2014/main" xmlns="" id="{35B9D297-97B1-46EE-9F29-631AD20EB2B1}"/>
            </a:ext>
          </a:extLst>
        </xdr:cNvPr>
        <xdr:cNvCxnSpPr/>
      </xdr:nvCxnSpPr>
      <xdr:spPr>
        <a:xfrm flipV="1">
          <a:off x="3048000" y="1381125"/>
          <a:ext cx="0" cy="288833"/>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3</xdr:col>
      <xdr:colOff>255431</xdr:colOff>
      <xdr:row>5</xdr:row>
      <xdr:rowOff>85724</xdr:rowOff>
    </xdr:from>
    <xdr:to>
      <xdr:col>6</xdr:col>
      <xdr:colOff>76200</xdr:colOff>
      <xdr:row>6</xdr:row>
      <xdr:rowOff>163483</xdr:rowOff>
    </xdr:to>
    <xdr:sp macro="" textlink="">
      <xdr:nvSpPr>
        <xdr:cNvPr id="21" name="Tip Text 23" descr="We added a column field here, which gave us six new columns...">
          <a:extLst>
            <a:ext uri="{FF2B5EF4-FFF2-40B4-BE49-F238E27FC236}">
              <a16:creationId xmlns:a16="http://schemas.microsoft.com/office/drawing/2014/main" xmlns="" id="{22CEE01A-C875-473B-BB7B-33755865030C}"/>
            </a:ext>
          </a:extLst>
        </xdr:cNvPr>
        <xdr:cNvSpPr txBox="1"/>
      </xdr:nvSpPr>
      <xdr:spPr>
        <a:xfrm>
          <a:off x="2503331" y="1038224"/>
          <a:ext cx="1335244" cy="268259"/>
        </a:xfrm>
        <a:prstGeom prst="rect">
          <a:avLst/>
        </a:prstGeom>
        <a:no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b="0" baseline="0" noProof="0">
              <a:effectLst/>
              <a:latin typeface="Calibri" panose="020F0502020204030204" pitchFamily="34" charset="0"/>
              <a:ea typeface="Calibri" panose="020F0502020204030204" pitchFamily="34" charset="0"/>
              <a:cs typeface="Calibri" panose="020F0502020204030204" pitchFamily="34" charset="0"/>
            </a:rPr>
            <a:t>...spent this much on Gifts: $95.</a:t>
          </a:r>
          <a:endParaRPr lang="en-US" sz="1100" b="0" noProof="0">
            <a:effectLst/>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absolute">
    <xdr:from>
      <xdr:col>8</xdr:col>
      <xdr:colOff>542925</xdr:colOff>
      <xdr:row>7</xdr:row>
      <xdr:rowOff>0</xdr:rowOff>
    </xdr:from>
    <xdr:to>
      <xdr:col>8</xdr:col>
      <xdr:colOff>542925</xdr:colOff>
      <xdr:row>8</xdr:row>
      <xdr:rowOff>98333</xdr:rowOff>
    </xdr:to>
    <xdr:cxnSp macro="">
      <xdr:nvCxnSpPr>
        <xdr:cNvPr id="22" name="shp_ArrowStraight">
          <a:extLst>
            <a:ext uri="{FF2B5EF4-FFF2-40B4-BE49-F238E27FC236}">
              <a16:creationId xmlns:a16="http://schemas.microsoft.com/office/drawing/2014/main" xmlns="" id="{A2A0C856-BC73-48BE-81F8-D1A9D1C4ECD0}"/>
            </a:ext>
          </a:extLst>
        </xdr:cNvPr>
        <xdr:cNvCxnSpPr/>
      </xdr:nvCxnSpPr>
      <xdr:spPr>
        <a:xfrm flipV="1">
          <a:off x="5314950" y="1381125"/>
          <a:ext cx="0" cy="288833"/>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7</xdr:col>
      <xdr:colOff>217331</xdr:colOff>
      <xdr:row>5</xdr:row>
      <xdr:rowOff>85724</xdr:rowOff>
    </xdr:from>
    <xdr:to>
      <xdr:col>9</xdr:col>
      <xdr:colOff>38101</xdr:colOff>
      <xdr:row>6</xdr:row>
      <xdr:rowOff>163483</xdr:rowOff>
    </xdr:to>
    <xdr:sp macro="" textlink="">
      <xdr:nvSpPr>
        <xdr:cNvPr id="23" name="Tip Text 23" descr="We added a column field here, which gave us six new columns...">
          <a:extLst>
            <a:ext uri="{FF2B5EF4-FFF2-40B4-BE49-F238E27FC236}">
              <a16:creationId xmlns:a16="http://schemas.microsoft.com/office/drawing/2014/main" xmlns="" id="{5845E49D-19E4-4DE4-B296-7140934FFACC}"/>
            </a:ext>
          </a:extLst>
        </xdr:cNvPr>
        <xdr:cNvSpPr txBox="1"/>
      </xdr:nvSpPr>
      <xdr:spPr>
        <a:xfrm>
          <a:off x="4484531" y="1038224"/>
          <a:ext cx="1078070" cy="268259"/>
        </a:xfrm>
        <a:prstGeom prst="rect">
          <a:avLst/>
        </a:prstGeom>
        <a:noFill/>
        <a:ln w="9525">
          <a:noFill/>
          <a:miter lim="800000"/>
          <a:headEnd/>
          <a:tailEnd/>
        </a:ln>
      </xdr:spPr>
      <xdr:txBody>
        <a:bodyPr rot="0" vert="horz" wrap="square" lIns="91440" tIns="45720" rIns="91440" bIns="45720" anchor="ctr" anchorCtr="0">
          <a:noAutofit/>
        </a:bodyPr>
        <a:lstStyle/>
        <a:p>
          <a:pPr marL="0" marR="0" lvl="0" indent="0" algn="r" defTabSz="914400" eaLnBrk="1" fontAlgn="auto" latinLnBrk="0" hangingPunct="1">
            <a:lnSpc>
              <a:spcPct val="107000"/>
            </a:lnSpc>
            <a:spcBef>
              <a:spcPts val="0"/>
            </a:spcBef>
            <a:spcAft>
              <a:spcPts val="800"/>
            </a:spcAft>
            <a:buClrTx/>
            <a:buSzTx/>
            <a:buFontTx/>
            <a:buNone/>
            <a:tabLst/>
            <a:defRPr/>
          </a:pPr>
          <a:r>
            <a:rPr lang="en-US" sz="1100" b="0" baseline="0" noProof="0">
              <a:effectLst/>
              <a:latin typeface="Calibri" panose="020F0502020204030204" pitchFamily="34" charset="0"/>
              <a:ea typeface="Calibri" panose="020F0502020204030204" pitchFamily="34" charset="0"/>
              <a:cs typeface="Calibri" panose="020F0502020204030204" pitchFamily="34" charset="0"/>
            </a:rPr>
            <a:t>...spent a total of $220.</a:t>
          </a:r>
          <a:endParaRPr lang="en-US" sz="1100" b="0" noProof="0">
            <a:effectLst/>
            <a:latin typeface="Calibri" panose="020F0502020204030204" pitchFamily="34" charset="0"/>
            <a:ea typeface="Calibri" panose="020F0502020204030204" pitchFamily="34" charset="0"/>
            <a:cs typeface="Calibri" panose="020F050202020403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13</xdr:col>
      <xdr:colOff>142493</xdr:colOff>
      <xdr:row>36</xdr:row>
      <xdr:rowOff>38875</xdr:rowOff>
    </xdr:to>
    <xdr:grpSp>
      <xdr:nvGrpSpPr>
        <xdr:cNvPr id="2" name="grp_WalkMe">
          <a:extLst>
            <a:ext uri="{FF2B5EF4-FFF2-40B4-BE49-F238E27FC236}">
              <a16:creationId xmlns:a16="http://schemas.microsoft.com/office/drawing/2014/main" xmlns="" id="{A1F3A5EC-05EB-4B6E-9133-C9FA48CEBB72}"/>
            </a:ext>
          </a:extLst>
        </xdr:cNvPr>
        <xdr:cNvGrpSpPr/>
      </xdr:nvGrpSpPr>
      <xdr:grpSpPr>
        <a:xfrm>
          <a:off x="0" y="0"/>
          <a:ext cx="7781543" cy="6944500"/>
          <a:chOff x="0" y="0"/>
          <a:chExt cx="7781543" cy="7112348"/>
        </a:xfrm>
      </xdr:grpSpPr>
      <xdr:sp macro="" textlink="">
        <xdr:nvSpPr>
          <xdr:cNvPr id="3" name="txt_WalkMeHeader" descr="How did we make the column field? We dragged the Type field, down to the Columns area in the PivotTable Fields list.">
            <a:extLst>
              <a:ext uri="{FF2B5EF4-FFF2-40B4-BE49-F238E27FC236}">
                <a16:creationId xmlns:a16="http://schemas.microsoft.com/office/drawing/2014/main" xmlns="" id="{6FFD8F25-9086-4F65-B955-AFFE859F08EB}"/>
              </a:ext>
            </a:extLst>
          </xdr:cNvPr>
          <xdr:cNvSpPr txBox="1"/>
        </xdr:nvSpPr>
        <xdr:spPr>
          <a:xfrm>
            <a:off x="0" y="0"/>
            <a:ext cx="7781543"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500" b="0" kern="1200" baseline="0">
                <a:solidFill>
                  <a:schemeClr val="dk1"/>
                </a:solidFill>
                <a:effectLst/>
                <a:latin typeface="Segoe UI Semibold" panose="020B0702040204020203" pitchFamily="34" charset="0"/>
                <a:ea typeface="+mn-ea"/>
                <a:cs typeface="Segoe UI Semibold" panose="020B0702040204020203" pitchFamily="34" charset="0"/>
              </a:rPr>
              <a:t>How did we make the column field? </a:t>
            </a:r>
            <a:r>
              <a:rPr lang="en-US" sz="1500" b="0" kern="1200" baseline="0">
                <a:solidFill>
                  <a:schemeClr val="dk1"/>
                </a:solidFill>
                <a:effectLst/>
                <a:latin typeface="Segoe UI Light" panose="020B0502040204020203" pitchFamily="34" charset="0"/>
                <a:ea typeface="+mn-ea"/>
                <a:cs typeface="Segoe UI Light" panose="020B0502040204020203" pitchFamily="34" charset="0"/>
              </a:rPr>
              <a:t>We dragged the </a:t>
            </a:r>
            <a:r>
              <a:rPr lang="en-US" sz="1500" b="0" i="1" kern="1200" baseline="0">
                <a:solidFill>
                  <a:schemeClr val="dk1"/>
                </a:solidFill>
                <a:effectLst/>
                <a:latin typeface="Segoe UI Light" panose="020B0502040204020203" pitchFamily="34" charset="0"/>
                <a:ea typeface="+mn-ea"/>
                <a:cs typeface="Segoe UI Light" panose="020B0502040204020203" pitchFamily="34" charset="0"/>
              </a:rPr>
              <a:t>Type</a:t>
            </a:r>
            <a:r>
              <a:rPr lang="en-US" sz="1500" b="0" kern="1200" baseline="0">
                <a:solidFill>
                  <a:schemeClr val="dk1"/>
                </a:solidFill>
                <a:effectLst/>
                <a:latin typeface="Segoe UI Light" panose="020B0502040204020203" pitchFamily="34" charset="0"/>
                <a:ea typeface="+mn-ea"/>
                <a:cs typeface="Segoe UI Light" panose="020B0502040204020203" pitchFamily="34" charset="0"/>
              </a:rPr>
              <a:t> field, down to the </a:t>
            </a:r>
            <a:r>
              <a:rPr lang="en-US" sz="1500" b="0" i="1" kern="1200" baseline="0">
                <a:solidFill>
                  <a:schemeClr val="dk1"/>
                </a:solidFill>
                <a:effectLst/>
                <a:latin typeface="Segoe UI Light" panose="020B0502040204020203" pitchFamily="34" charset="0"/>
                <a:ea typeface="+mn-ea"/>
                <a:cs typeface="Segoe UI Light" panose="020B0502040204020203" pitchFamily="34" charset="0"/>
              </a:rPr>
              <a:t>Columns</a:t>
            </a:r>
            <a:r>
              <a:rPr lang="en-US" sz="1500" b="0" kern="1200" baseline="0">
                <a:solidFill>
                  <a:schemeClr val="dk1"/>
                </a:solidFill>
                <a:effectLst/>
                <a:latin typeface="Segoe UI Light" panose="020B0502040204020203" pitchFamily="34" charset="0"/>
                <a:ea typeface="+mn-ea"/>
                <a:cs typeface="Segoe UI Light" panose="020B0502040204020203" pitchFamily="34" charset="0"/>
              </a:rPr>
              <a:t> area in the PivotTable Fields list.</a:t>
            </a:r>
            <a:endParaRPr lang="en-US" sz="1500">
              <a:effectLst/>
              <a:latin typeface="Segoe UI Light" panose="020B0502040204020203" pitchFamily="34" charset="0"/>
              <a:cs typeface="Segoe UI Light" panose="020B0502040204020203" pitchFamily="34" charset="0"/>
            </a:endParaRPr>
          </a:p>
        </xdr:txBody>
      </xdr:sp>
      <xdr:sp macro="" textlink="">
        <xdr:nvSpPr>
          <xdr:cNvPr id="4" name="txt_WalkMeFooter">
            <a:extLst>
              <a:ext uri="{FF2B5EF4-FFF2-40B4-BE49-F238E27FC236}">
                <a16:creationId xmlns:a16="http://schemas.microsoft.com/office/drawing/2014/main" xmlns="" id="{C5EF6965-7CC0-499D-B456-E2BD688E61B3}"/>
              </a:ext>
            </a:extLst>
          </xdr:cNvPr>
          <xdr:cNvSpPr txBox="1"/>
        </xdr:nvSpPr>
        <xdr:spPr>
          <a:xfrm>
            <a:off x="0" y="6428698"/>
            <a:ext cx="7781543" cy="683647"/>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
              <a:ea typeface="Segoe UI" pitchFamily="34" charset="0"/>
              <a:cs typeface="Segoe UI Light" panose="020B0502040204020203" pitchFamily="34" charset="0"/>
            </a:endParaRPr>
          </a:p>
        </xdr:txBody>
      </xdr:sp>
      <xdr:sp macro="" textlink="">
        <xdr:nvSpPr>
          <xdr:cNvPr id="5" name="txt_WalkMeNext" descr="Next step button, hyperlinked to next sheet">
            <a:hlinkClick xmlns:r="http://schemas.openxmlformats.org/officeDocument/2006/relationships" r:id="rId1" tooltip="Click here to go to the next sheet"/>
            <a:extLst>
              <a:ext uri="{FF2B5EF4-FFF2-40B4-BE49-F238E27FC236}">
                <a16:creationId xmlns:a16="http://schemas.microsoft.com/office/drawing/2014/main" xmlns="" id="{F515764A-427E-4809-9930-E7EFD56E953A}"/>
              </a:ext>
            </a:extLst>
          </xdr:cNvPr>
          <xdr:cNvSpPr/>
        </xdr:nvSpPr>
        <xdr:spPr>
          <a:xfrm>
            <a:off x="6261100" y="6592214"/>
            <a:ext cx="1207008" cy="356615"/>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sp macro="" textlink="">
        <xdr:nvSpPr>
          <xdr:cNvPr id="6" name="txt_WalkMePrevious" descr="Previous step button, hyperlinked to previous sheet">
            <a:hlinkClick xmlns:r="http://schemas.openxmlformats.org/officeDocument/2006/relationships" r:id="rId2" tooltip="Click here to go back to the previous sheet"/>
            <a:extLst>
              <a:ext uri="{FF2B5EF4-FFF2-40B4-BE49-F238E27FC236}">
                <a16:creationId xmlns:a16="http://schemas.microsoft.com/office/drawing/2014/main" xmlns="" id="{B3B68F37-F04E-43C9-849F-667B72C5DE81}"/>
              </a:ext>
            </a:extLst>
          </xdr:cNvPr>
          <xdr:cNvSpPr/>
        </xdr:nvSpPr>
        <xdr:spPr>
          <a:xfrm flipH="1">
            <a:off x="304800" y="6592214"/>
            <a:ext cx="1207008" cy="356615"/>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sp macro="" textlink="">
        <xdr:nvSpPr>
          <xdr:cNvPr id="7" name="txt_WalkMeFeedback" descr="Feedback button, hyperlinked to web form">
            <a:hlinkClick xmlns:r="http://schemas.openxmlformats.org/officeDocument/2006/relationships" r:id="rId3" tooltip="Click to give us feedback on this tutorial"/>
            <a:extLst>
              <a:ext uri="{FF2B5EF4-FFF2-40B4-BE49-F238E27FC236}">
                <a16:creationId xmlns:a16="http://schemas.microsoft.com/office/drawing/2014/main" xmlns="" id="{1E406E4C-8ED3-476B-87D7-E13241DDA2C3}"/>
              </a:ext>
            </a:extLst>
          </xdr:cNvPr>
          <xdr:cNvSpPr/>
        </xdr:nvSpPr>
        <xdr:spPr>
          <a:xfrm>
            <a:off x="3291839" y="6920324"/>
            <a:ext cx="1197864" cy="192024"/>
          </a:xfrm>
          <a:prstGeom prst="rect">
            <a:avLst/>
          </a:prstGeom>
          <a:solidFill>
            <a:schemeClr val="bg1">
              <a:lumMod val="85000"/>
            </a:schemeClr>
          </a:solidFill>
          <a:ln>
            <a:no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100" u="sng">
                <a:solidFill>
                  <a:sysClr val="windowText" lastClr="000000"/>
                </a:solidFill>
                <a:latin typeface="Segoe UI" panose="020B0502040204020203" pitchFamily="34" charset="0"/>
                <a:ea typeface="Segoe UI" pitchFamily="34" charset="0"/>
                <a:cs typeface="Segoe UI" pitchFamily="34" charset="0"/>
              </a:rPr>
              <a:t>Feedback</a:t>
            </a:r>
          </a:p>
        </xdr:txBody>
      </xdr:sp>
    </xdr:grpSp>
    <xdr:clientData/>
  </xdr:twoCellAnchor>
  <xdr:twoCellAnchor editAs="oneCell">
    <xdr:from>
      <xdr:col>3</xdr:col>
      <xdr:colOff>480821</xdr:colOff>
      <xdr:row>4</xdr:row>
      <xdr:rowOff>188595</xdr:rowOff>
    </xdr:from>
    <xdr:to>
      <xdr:col>9</xdr:col>
      <xdr:colOff>23621</xdr:colOff>
      <xdr:row>31</xdr:row>
      <xdr:rowOff>112395</xdr:rowOff>
    </xdr:to>
    <xdr:pic>
      <xdr:nvPicPr>
        <xdr:cNvPr id="8" name="Picture 7">
          <a:extLst>
            <a:ext uri="{FF2B5EF4-FFF2-40B4-BE49-F238E27FC236}">
              <a16:creationId xmlns:a16="http://schemas.microsoft.com/office/drawing/2014/main" xmlns="" id="{94D46D1B-9152-4F7B-9493-EAB1D8537E75}"/>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2662046" y="950595"/>
          <a:ext cx="2457450" cy="511492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0</xdr:colOff>
      <xdr:row>19</xdr:row>
      <xdr:rowOff>142875</xdr:rowOff>
    </xdr:from>
    <xdr:to>
      <xdr:col>10</xdr:col>
      <xdr:colOff>123443</xdr:colOff>
      <xdr:row>23</xdr:row>
      <xdr:rowOff>48387</xdr:rowOff>
    </xdr:to>
    <xdr:sp macro="" textlink="" fLocksText="0">
      <xdr:nvSpPr>
        <xdr:cNvPr id="2" name="txt_PracticeFooter">
          <a:extLst>
            <a:ext uri="{FF2B5EF4-FFF2-40B4-BE49-F238E27FC236}">
              <a16:creationId xmlns:a16="http://schemas.microsoft.com/office/drawing/2014/main" xmlns="" id="{7D6AC15F-391E-46D9-9202-E268E6DB08CF}"/>
            </a:ext>
          </a:extLst>
        </xdr:cNvPr>
        <xdr:cNvSpPr txBox="1"/>
      </xdr:nvSpPr>
      <xdr:spPr>
        <a:xfrm>
          <a:off x="0" y="3762375"/>
          <a:ext cx="7781543" cy="66751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
            <a:ea typeface="Segoe UI" pitchFamily="34" charset="0"/>
            <a:cs typeface="Segoe UI Light" panose="020B0502040204020203" pitchFamily="34" charset="0"/>
          </a:endParaRPr>
        </a:p>
      </xdr:txBody>
    </xdr:sp>
    <xdr:clientData/>
  </xdr:twoCellAnchor>
  <xdr:twoCellAnchor editAs="absolute">
    <xdr:from>
      <xdr:col>3</xdr:col>
      <xdr:colOff>701039</xdr:colOff>
      <xdr:row>22</xdr:row>
      <xdr:rowOff>46863</xdr:rowOff>
    </xdr:from>
    <xdr:to>
      <xdr:col>5</xdr:col>
      <xdr:colOff>413003</xdr:colOff>
      <xdr:row>23</xdr:row>
      <xdr:rowOff>48387</xdr:rowOff>
    </xdr:to>
    <xdr:sp macro="" textlink="" fLocksText="0">
      <xdr:nvSpPr>
        <xdr:cNvPr id="3" name="txt_PracticeFeedback" descr="Feedback button, hyperlinked to web form">
          <a:hlinkClick xmlns:r="http://schemas.openxmlformats.org/officeDocument/2006/relationships" r:id="rId1" tooltip="Click to give us feedback on this tutorial"/>
          <a:extLst>
            <a:ext uri="{FF2B5EF4-FFF2-40B4-BE49-F238E27FC236}">
              <a16:creationId xmlns:a16="http://schemas.microsoft.com/office/drawing/2014/main" xmlns="" id="{1CB107C1-2F4A-4563-AC20-87FD1004E223}"/>
            </a:ext>
          </a:extLst>
        </xdr:cNvPr>
        <xdr:cNvSpPr/>
      </xdr:nvSpPr>
      <xdr:spPr>
        <a:xfrm>
          <a:off x="3291839" y="4237863"/>
          <a:ext cx="1197864" cy="192024"/>
        </a:xfrm>
        <a:prstGeom prst="rect">
          <a:avLst/>
        </a:prstGeom>
        <a:solidFill>
          <a:schemeClr val="bg1">
            <a:lumMod val="85000"/>
          </a:schemeClr>
        </a:solidFill>
        <a:ln>
          <a:no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100" u="sng">
              <a:solidFill>
                <a:sysClr val="windowText" lastClr="000000"/>
              </a:solidFill>
              <a:latin typeface="Segoe UI" pitchFamily="34" charset="0"/>
              <a:ea typeface="Segoe UI" pitchFamily="34" charset="0"/>
              <a:cs typeface="Segoe UI" pitchFamily="34" charset="0"/>
            </a:rPr>
            <a:t>Feedback</a:t>
          </a:r>
        </a:p>
      </xdr:txBody>
    </xdr:sp>
    <xdr:clientData/>
  </xdr:twoCellAnchor>
  <xdr:twoCellAnchor editAs="absolute">
    <xdr:from>
      <xdr:col>0</xdr:col>
      <xdr:colOff>481615</xdr:colOff>
      <xdr:row>3</xdr:row>
      <xdr:rowOff>17040</xdr:rowOff>
    </xdr:from>
    <xdr:to>
      <xdr:col>2</xdr:col>
      <xdr:colOff>253015</xdr:colOff>
      <xdr:row>10</xdr:row>
      <xdr:rowOff>55140</xdr:rowOff>
    </xdr:to>
    <xdr:sp macro="" textlink="" fLocksText="0">
      <xdr:nvSpPr>
        <xdr:cNvPr id="4" name="txt_Practice1" descr="Click inside the PivotTable below. ">
          <a:extLst>
            <a:ext uri="{FF2B5EF4-FFF2-40B4-BE49-F238E27FC236}">
              <a16:creationId xmlns:a16="http://schemas.microsoft.com/office/drawing/2014/main" xmlns="" id="{EA46545F-6838-44A1-BD71-C2C2E9759CCF}"/>
            </a:ext>
          </a:extLst>
        </xdr:cNvPr>
        <xdr:cNvSpPr txBox="1"/>
      </xdr:nvSpPr>
      <xdr:spPr>
        <a:xfrm>
          <a:off x="481615" y="588540"/>
          <a:ext cx="1371600" cy="1371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Click inside the PivotTable below. </a:t>
          </a:r>
        </a:p>
      </xdr:txBody>
    </xdr:sp>
    <xdr:clientData/>
  </xdr:twoCellAnchor>
  <xdr:twoCellAnchor editAs="absolute">
    <xdr:from>
      <xdr:col>2</xdr:col>
      <xdr:colOff>656227</xdr:colOff>
      <xdr:row>3</xdr:row>
      <xdr:rowOff>17040</xdr:rowOff>
    </xdr:from>
    <xdr:to>
      <xdr:col>4</xdr:col>
      <xdr:colOff>294277</xdr:colOff>
      <xdr:row>10</xdr:row>
      <xdr:rowOff>55140</xdr:rowOff>
    </xdr:to>
    <xdr:sp macro="" textlink="" fLocksText="0">
      <xdr:nvSpPr>
        <xdr:cNvPr id="5" name="txt_Practice2" descr="Do you see the PivotTable Fields list on the right? Good! (If you don't see it, right-click the PivotTable below and choose Show Field List.)">
          <a:extLst>
            <a:ext uri="{FF2B5EF4-FFF2-40B4-BE49-F238E27FC236}">
              <a16:creationId xmlns:a16="http://schemas.microsoft.com/office/drawing/2014/main" xmlns="" id="{AB39C435-1BDB-4BD6-A02D-4C14DB1CAAA1}"/>
            </a:ext>
          </a:extLst>
        </xdr:cNvPr>
        <xdr:cNvSpPr txBox="1"/>
      </xdr:nvSpPr>
      <xdr:spPr>
        <a:xfrm>
          <a:off x="2256427" y="588540"/>
          <a:ext cx="1371600" cy="1371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1000" b="0" i="0" kern="1200" baseline="0">
              <a:solidFill>
                <a:schemeClr val="dk1"/>
              </a:solidFill>
              <a:effectLst/>
              <a:latin typeface="Segoe UI" panose="020B0502040204020203" pitchFamily="34" charset="0"/>
              <a:ea typeface="+mn-ea"/>
              <a:cs typeface="Segoe UI" panose="020B0502040204020203" pitchFamily="34" charset="0"/>
            </a:rPr>
            <a:t>Do you see the PivotTable Fields list on the right? Good! (If you don't see it, </a:t>
          </a:r>
          <a:br>
            <a:rPr lang="en-US" sz="1000" b="0" i="0" kern="1200" baseline="0">
              <a:solidFill>
                <a:schemeClr val="dk1"/>
              </a:solidFill>
              <a:effectLst/>
              <a:latin typeface="Segoe UI" panose="020B0502040204020203" pitchFamily="34" charset="0"/>
              <a:ea typeface="+mn-ea"/>
              <a:cs typeface="Segoe UI" panose="020B0502040204020203" pitchFamily="34" charset="0"/>
            </a:rPr>
          </a:br>
          <a:r>
            <a:rPr lang="en-US" sz="1000" b="0" i="0" kern="1200" baseline="0">
              <a:solidFill>
                <a:schemeClr val="dk1"/>
              </a:solidFill>
              <a:effectLst/>
              <a:latin typeface="Segoe UI" panose="020B0502040204020203" pitchFamily="34" charset="0"/>
              <a:ea typeface="+mn-ea"/>
              <a:cs typeface="Segoe UI" panose="020B0502040204020203" pitchFamily="34" charset="0"/>
            </a:rPr>
            <a:t>right-click the PivotTable below and choose </a:t>
          </a:r>
          <a:r>
            <a:rPr lang="en-US" sz="1000" b="1" i="0" kern="1200" baseline="0">
              <a:solidFill>
                <a:schemeClr val="dk1"/>
              </a:solidFill>
              <a:effectLst/>
              <a:latin typeface="Segoe UI" panose="020B0502040204020203" pitchFamily="34" charset="0"/>
              <a:ea typeface="+mn-ea"/>
              <a:cs typeface="Segoe UI" panose="020B0502040204020203" pitchFamily="34" charset="0"/>
            </a:rPr>
            <a:t>Show Field List</a:t>
          </a:r>
          <a:r>
            <a:rPr lang="en-US" sz="1000" b="0" i="0" kern="1200" baseline="0">
              <a:solidFill>
                <a:schemeClr val="dk1"/>
              </a:solidFill>
              <a:effectLst/>
              <a:latin typeface="Segoe UI" panose="020B0502040204020203" pitchFamily="34" charset="0"/>
              <a:ea typeface="+mn-ea"/>
              <a:cs typeface="Segoe UI" panose="020B0502040204020203" pitchFamily="34" charset="0"/>
            </a:rPr>
            <a:t>.)</a:t>
          </a:r>
          <a:endParaRPr kumimoji="0" lang="en-US" sz="10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5</xdr:col>
      <xdr:colOff>34901</xdr:colOff>
      <xdr:row>3</xdr:row>
      <xdr:rowOff>17040</xdr:rowOff>
    </xdr:from>
    <xdr:to>
      <xdr:col>6</xdr:col>
      <xdr:colOff>663551</xdr:colOff>
      <xdr:row>10</xdr:row>
      <xdr:rowOff>55140</xdr:rowOff>
    </xdr:to>
    <xdr:sp macro="" textlink="" fLocksText="0">
      <xdr:nvSpPr>
        <xdr:cNvPr id="6" name="txt_Practice3" descr="In the PivotTable Fields list, drag the Type field down to the Columns area. (Like we showed you on the previous sheet.)">
          <a:extLst>
            <a:ext uri="{FF2B5EF4-FFF2-40B4-BE49-F238E27FC236}">
              <a16:creationId xmlns:a16="http://schemas.microsoft.com/office/drawing/2014/main" xmlns="" id="{FD6190D3-8147-455B-88B2-AE04AA703BA0}"/>
            </a:ext>
          </a:extLst>
        </xdr:cNvPr>
        <xdr:cNvSpPr txBox="1"/>
      </xdr:nvSpPr>
      <xdr:spPr>
        <a:xfrm>
          <a:off x="4111601" y="588540"/>
          <a:ext cx="1371600" cy="1371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In the PivotTable Fields list, drag the </a:t>
          </a:r>
          <a:r>
            <a:rPr kumimoji="0" lang="en-US" sz="10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Type</a:t>
          </a:r>
          <a:r>
            <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 field down to the </a:t>
          </a:r>
          <a:r>
            <a:rPr kumimoji="0" lang="en-US" sz="10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Columns</a:t>
          </a:r>
          <a:r>
            <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 area. (Like we showed you on the previous sheet.)</a:t>
          </a:r>
        </a:p>
      </xdr:txBody>
    </xdr:sp>
    <xdr:clientData/>
  </xdr:twoCellAnchor>
  <xdr:twoCellAnchor editAs="absolute">
    <xdr:from>
      <xdr:col>0</xdr:col>
      <xdr:colOff>76085</xdr:colOff>
      <xdr:row>3</xdr:row>
      <xdr:rowOff>17041</xdr:rowOff>
    </xdr:from>
    <xdr:to>
      <xdr:col>0</xdr:col>
      <xdr:colOff>450989</xdr:colOff>
      <xdr:row>5</xdr:row>
      <xdr:rowOff>10945</xdr:rowOff>
    </xdr:to>
    <xdr:sp macro="" textlink="" fLocksText="0">
      <xdr:nvSpPr>
        <xdr:cNvPr id="7" name="shp_Practice1" descr="1">
          <a:extLst>
            <a:ext uri="{FF2B5EF4-FFF2-40B4-BE49-F238E27FC236}">
              <a16:creationId xmlns:a16="http://schemas.microsoft.com/office/drawing/2014/main" xmlns="" id="{32E98DA2-0C0D-4181-B81D-01BF55C652AC}"/>
            </a:ext>
          </a:extLst>
        </xdr:cNvPr>
        <xdr:cNvSpPr/>
      </xdr:nvSpPr>
      <xdr:spPr>
        <a:xfrm>
          <a:off x="76085" y="588541"/>
          <a:ext cx="37490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clientData/>
  </xdr:twoCellAnchor>
  <xdr:twoCellAnchor editAs="absolute">
    <xdr:from>
      <xdr:col>2</xdr:col>
      <xdr:colOff>310448</xdr:colOff>
      <xdr:row>3</xdr:row>
      <xdr:rowOff>17040</xdr:rowOff>
    </xdr:from>
    <xdr:to>
      <xdr:col>2</xdr:col>
      <xdr:colOff>685352</xdr:colOff>
      <xdr:row>5</xdr:row>
      <xdr:rowOff>10944</xdr:rowOff>
    </xdr:to>
    <xdr:sp macro="" textlink="" fLocksText="0">
      <xdr:nvSpPr>
        <xdr:cNvPr id="8" name="shp_Practice2" descr="2">
          <a:extLst>
            <a:ext uri="{FF2B5EF4-FFF2-40B4-BE49-F238E27FC236}">
              <a16:creationId xmlns:a16="http://schemas.microsoft.com/office/drawing/2014/main" xmlns="" id="{AFBD8E9C-8094-4A59-BA8A-7399553698EC}"/>
            </a:ext>
          </a:extLst>
        </xdr:cNvPr>
        <xdr:cNvSpPr/>
      </xdr:nvSpPr>
      <xdr:spPr>
        <a:xfrm>
          <a:off x="1910648" y="588540"/>
          <a:ext cx="37490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clientData/>
  </xdr:twoCellAnchor>
  <xdr:twoCellAnchor editAs="absolute">
    <xdr:from>
      <xdr:col>4</xdr:col>
      <xdr:colOff>411461</xdr:colOff>
      <xdr:row>3</xdr:row>
      <xdr:rowOff>17040</xdr:rowOff>
    </xdr:from>
    <xdr:to>
      <xdr:col>5</xdr:col>
      <xdr:colOff>43415</xdr:colOff>
      <xdr:row>5</xdr:row>
      <xdr:rowOff>10944</xdr:rowOff>
    </xdr:to>
    <xdr:sp macro="" textlink="" fLocksText="0">
      <xdr:nvSpPr>
        <xdr:cNvPr id="9" name="shp_Practice3" descr="3">
          <a:extLst>
            <a:ext uri="{FF2B5EF4-FFF2-40B4-BE49-F238E27FC236}">
              <a16:creationId xmlns:a16="http://schemas.microsoft.com/office/drawing/2014/main" xmlns="" id="{E46E0741-F6C1-4776-8DBC-54484059FFCC}"/>
            </a:ext>
          </a:extLst>
        </xdr:cNvPr>
        <xdr:cNvSpPr/>
      </xdr:nvSpPr>
      <xdr:spPr>
        <a:xfrm>
          <a:off x="3745211" y="588540"/>
          <a:ext cx="37490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clientData/>
  </xdr:twoCellAnchor>
  <xdr:twoCellAnchor editAs="absolute">
    <xdr:from>
      <xdr:col>0</xdr:col>
      <xdr:colOff>0</xdr:colOff>
      <xdr:row>0</xdr:row>
      <xdr:rowOff>0</xdr:rowOff>
    </xdr:from>
    <xdr:to>
      <xdr:col>10</xdr:col>
      <xdr:colOff>123443</xdr:colOff>
      <xdr:row>2</xdr:row>
      <xdr:rowOff>21336</xdr:rowOff>
    </xdr:to>
    <xdr:sp macro="" textlink="" fLocksText="0">
      <xdr:nvSpPr>
        <xdr:cNvPr id="10" name="txt_PracticeHeader" descr="Practice ">
          <a:extLst>
            <a:ext uri="{FF2B5EF4-FFF2-40B4-BE49-F238E27FC236}">
              <a16:creationId xmlns:a16="http://schemas.microsoft.com/office/drawing/2014/main" xmlns="" id="{C1D9626F-6FA9-412E-AA3F-1EBEE84D8E68}"/>
            </a:ext>
          </a:extLst>
        </xdr:cNvPr>
        <xdr:cNvSpPr txBox="1"/>
      </xdr:nvSpPr>
      <xdr:spPr>
        <a:xfrm>
          <a:off x="0" y="0"/>
          <a:ext cx="7781543" cy="402336"/>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800" b="1" kern="0" baseline="0">
              <a:solidFill>
                <a:schemeClr val="bg1"/>
              </a:solidFill>
              <a:latin typeface="Segoe UI Semibold" panose="020B0702040204020203" pitchFamily="34" charset="0"/>
              <a:ea typeface="Segoe UI" pitchFamily="34" charset="0"/>
              <a:cs typeface="Segoe UI Semibold" panose="020B0702040204020203" pitchFamily="34" charset="0"/>
            </a:rPr>
            <a:t>Practice </a:t>
          </a:r>
          <a:endParaRPr lang="en-US" sz="1800">
            <a:solidFill>
              <a:schemeClr val="bg1"/>
            </a:solidFill>
            <a:latin typeface="Segoe UI Semibold" panose="020B0702040204020203" pitchFamily="34" charset="0"/>
            <a:ea typeface="Segoe UI" pitchFamily="34" charset="0"/>
            <a:cs typeface="Segoe UI Light" panose="020B0502040204020203" pitchFamily="34" charset="0"/>
          </a:endParaRPr>
        </a:p>
      </xdr:txBody>
    </xdr:sp>
    <xdr:clientData/>
  </xdr:twoCellAnchor>
  <xdr:twoCellAnchor editAs="absolute">
    <xdr:from>
      <xdr:col>7</xdr:col>
      <xdr:colOff>698500</xdr:colOff>
      <xdr:row>20</xdr:row>
      <xdr:rowOff>107823</xdr:rowOff>
    </xdr:from>
    <xdr:to>
      <xdr:col>9</xdr:col>
      <xdr:colOff>419608</xdr:colOff>
      <xdr:row>22</xdr:row>
      <xdr:rowOff>83439</xdr:rowOff>
    </xdr:to>
    <xdr:sp macro="" textlink="" fLocksText="0">
      <xdr:nvSpPr>
        <xdr:cNvPr id="11" name="txt_PracticeNext" descr="Next step button, hyperlinked to next sheet">
          <a:hlinkClick xmlns:r="http://schemas.openxmlformats.org/officeDocument/2006/relationships" r:id="rId2" tooltip="Click here to go to the next sheet"/>
          <a:extLst>
            <a:ext uri="{FF2B5EF4-FFF2-40B4-BE49-F238E27FC236}">
              <a16:creationId xmlns:a16="http://schemas.microsoft.com/office/drawing/2014/main" xmlns="" id="{AF6F87C0-5DC1-4DA5-9AF2-70081C52F9FD}"/>
            </a:ext>
          </a:extLst>
        </xdr:cNvPr>
        <xdr:cNvSpPr/>
      </xdr:nvSpPr>
      <xdr:spPr>
        <a:xfrm>
          <a:off x="6261100" y="3917823"/>
          <a:ext cx="1207008" cy="3566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0</xdr:col>
      <xdr:colOff>304800</xdr:colOff>
      <xdr:row>20</xdr:row>
      <xdr:rowOff>107823</xdr:rowOff>
    </xdr:from>
    <xdr:to>
      <xdr:col>1</xdr:col>
      <xdr:colOff>902208</xdr:colOff>
      <xdr:row>22</xdr:row>
      <xdr:rowOff>83439</xdr:rowOff>
    </xdr:to>
    <xdr:sp macro="" textlink="" fLocksText="0">
      <xdr:nvSpPr>
        <xdr:cNvPr id="12" name="txt_PracticePrevious" descr="Previous step button, hyperlinked to previous sheet">
          <a:hlinkClick xmlns:r="http://schemas.openxmlformats.org/officeDocument/2006/relationships" r:id="rId3" tooltip="Click here to go back to the previous sheet"/>
          <a:extLst>
            <a:ext uri="{FF2B5EF4-FFF2-40B4-BE49-F238E27FC236}">
              <a16:creationId xmlns:a16="http://schemas.microsoft.com/office/drawing/2014/main" xmlns="" id="{56408D35-F630-454D-B0F2-2B154F6BD165}"/>
            </a:ext>
          </a:extLst>
        </xdr:cNvPr>
        <xdr:cNvSpPr/>
      </xdr:nvSpPr>
      <xdr:spPr>
        <a:xfrm flipH="1">
          <a:off x="304800" y="3917823"/>
          <a:ext cx="1207008" cy="3566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xdr:twoCellAnchor>
  <xdr:twoCellAnchor editAs="absolute">
    <xdr:from>
      <xdr:col>7</xdr:col>
      <xdr:colOff>396851</xdr:colOff>
      <xdr:row>2</xdr:row>
      <xdr:rowOff>188490</xdr:rowOff>
    </xdr:from>
    <xdr:to>
      <xdr:col>10</xdr:col>
      <xdr:colOff>66675</xdr:colOff>
      <xdr:row>6</xdr:row>
      <xdr:rowOff>161925</xdr:rowOff>
    </xdr:to>
    <xdr:sp macro="" textlink="" fLocksText="0">
      <xdr:nvSpPr>
        <xdr:cNvPr id="13" name="txt_Practice4" descr="The PivotTable below should automatically expand to include those columns. Uncheck the Type field if you want to go back.">
          <a:extLst>
            <a:ext uri="{FF2B5EF4-FFF2-40B4-BE49-F238E27FC236}">
              <a16:creationId xmlns:a16="http://schemas.microsoft.com/office/drawing/2014/main" xmlns="" id="{7A33D2AB-A34B-413A-99F5-55DCE773A5D9}"/>
            </a:ext>
          </a:extLst>
        </xdr:cNvPr>
        <xdr:cNvSpPr txBox="1"/>
      </xdr:nvSpPr>
      <xdr:spPr>
        <a:xfrm>
          <a:off x="5959451" y="569490"/>
          <a:ext cx="1765324" cy="7354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The PivotTable below should automatically expand to include those six columns for Type. </a:t>
          </a:r>
        </a:p>
      </xdr:txBody>
    </xdr:sp>
    <xdr:clientData/>
  </xdr:twoCellAnchor>
  <xdr:twoCellAnchor editAs="absolute">
    <xdr:from>
      <xdr:col>7</xdr:col>
      <xdr:colOff>30461</xdr:colOff>
      <xdr:row>2</xdr:row>
      <xdr:rowOff>188490</xdr:rowOff>
    </xdr:from>
    <xdr:to>
      <xdr:col>7</xdr:col>
      <xdr:colOff>405365</xdr:colOff>
      <xdr:row>4</xdr:row>
      <xdr:rowOff>182394</xdr:rowOff>
    </xdr:to>
    <xdr:sp macro="" textlink="" fLocksText="0">
      <xdr:nvSpPr>
        <xdr:cNvPr id="14" name="shp_Practice4" descr="4">
          <a:extLst>
            <a:ext uri="{FF2B5EF4-FFF2-40B4-BE49-F238E27FC236}">
              <a16:creationId xmlns:a16="http://schemas.microsoft.com/office/drawing/2014/main" xmlns="" id="{99850A0D-5905-46C7-99F2-3A5D9F8B6C69}"/>
            </a:ext>
          </a:extLst>
        </xdr:cNvPr>
        <xdr:cNvSpPr/>
      </xdr:nvSpPr>
      <xdr:spPr>
        <a:xfrm>
          <a:off x="5593061" y="569490"/>
          <a:ext cx="37490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clientData/>
  </xdr:twoCellAnchor>
</xdr:wsDr>
</file>

<file path=xl/drawings/drawing9.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9</xdr:col>
      <xdr:colOff>723518</xdr:colOff>
      <xdr:row>22</xdr:row>
      <xdr:rowOff>96012</xdr:rowOff>
    </xdr:to>
    <xdr:grpSp>
      <xdr:nvGrpSpPr>
        <xdr:cNvPr id="2" name="grp_WalkMe">
          <a:extLst>
            <a:ext uri="{FF2B5EF4-FFF2-40B4-BE49-F238E27FC236}">
              <a16:creationId xmlns:a16="http://schemas.microsoft.com/office/drawing/2014/main" xmlns="" id="{DB4820E7-B077-4DE5-978E-3D5D47B92A80}"/>
            </a:ext>
          </a:extLst>
        </xdr:cNvPr>
        <xdr:cNvGrpSpPr/>
      </xdr:nvGrpSpPr>
      <xdr:grpSpPr>
        <a:xfrm>
          <a:off x="0" y="0"/>
          <a:ext cx="7781543" cy="4287012"/>
          <a:chOff x="0" y="0"/>
          <a:chExt cx="7781543" cy="4439412"/>
        </a:xfrm>
      </xdr:grpSpPr>
      <xdr:sp macro="" textlink="">
        <xdr:nvSpPr>
          <xdr:cNvPr id="3" name="txt_WalkMeHeader" descr="Let's review the PivotTable you just made, but this time we've added some special colors. The colors make it easy for you to see where the row, column, and value fields are located.">
            <a:extLst>
              <a:ext uri="{FF2B5EF4-FFF2-40B4-BE49-F238E27FC236}">
                <a16:creationId xmlns:a16="http://schemas.microsoft.com/office/drawing/2014/main" xmlns="" id="{BA27858F-C2CB-4AE1-8A08-B8812E7BD514}"/>
              </a:ext>
            </a:extLst>
          </xdr:cNvPr>
          <xdr:cNvSpPr txBox="1"/>
        </xdr:nvSpPr>
        <xdr:spPr>
          <a:xfrm>
            <a:off x="0" y="0"/>
            <a:ext cx="7781543"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500" b="0" kern="1200" baseline="0">
                <a:solidFill>
                  <a:schemeClr val="dk1"/>
                </a:solidFill>
                <a:effectLst/>
                <a:latin typeface="Segoe UI Semibold" panose="020B0702040204020203" pitchFamily="34" charset="0"/>
                <a:ea typeface="+mn-ea"/>
                <a:cs typeface="Segoe UI Semibold" panose="020B0702040204020203" pitchFamily="34" charset="0"/>
              </a:rPr>
              <a:t>Let's review the PivotTable you just made, </a:t>
            </a:r>
            <a:r>
              <a:rPr lang="en-US" sz="1500" b="0" kern="1200" baseline="0">
                <a:solidFill>
                  <a:schemeClr val="dk1"/>
                </a:solidFill>
                <a:effectLst/>
                <a:latin typeface="Segoe UI Light" panose="020B0502040204020203" pitchFamily="34" charset="0"/>
                <a:ea typeface="+mn-ea"/>
                <a:cs typeface="Segoe UI Light" panose="020B0502040204020203" pitchFamily="34" charset="0"/>
              </a:rPr>
              <a:t>but this time we've added some special colors. The colors make it easy for you to see where the row, column, and value fields are located.</a:t>
            </a:r>
            <a:endParaRPr lang="en-US" sz="1500">
              <a:effectLst/>
              <a:latin typeface="Segoe UI Light" panose="020B0502040204020203" pitchFamily="34" charset="0"/>
              <a:cs typeface="Segoe UI Light" panose="020B0502040204020203" pitchFamily="34" charset="0"/>
            </a:endParaRPr>
          </a:p>
        </xdr:txBody>
      </xdr:sp>
      <xdr:sp macro="" textlink="">
        <xdr:nvSpPr>
          <xdr:cNvPr id="4" name="txt_WalkMeFooter">
            <a:extLst>
              <a:ext uri="{FF2B5EF4-FFF2-40B4-BE49-F238E27FC236}">
                <a16:creationId xmlns:a16="http://schemas.microsoft.com/office/drawing/2014/main" xmlns="" id="{7A526CCC-2308-4D2C-B86C-E41F94E1BDB6}"/>
              </a:ext>
            </a:extLst>
          </xdr:cNvPr>
          <xdr:cNvSpPr txBox="1"/>
        </xdr:nvSpPr>
        <xdr:spPr>
          <a:xfrm>
            <a:off x="0" y="3619500"/>
            <a:ext cx="7781543" cy="66751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
              <a:ea typeface="Segoe UI" pitchFamily="34" charset="0"/>
              <a:cs typeface="Segoe UI Light" panose="020B0502040204020203" pitchFamily="34" charset="0"/>
            </a:endParaRPr>
          </a:p>
        </xdr:txBody>
      </xdr:sp>
      <xdr:sp macro="" textlink="">
        <xdr:nvSpPr>
          <xdr:cNvPr id="5" name="txt_WalkMeNext" descr="Next step button, hyperlinked to next sheet">
            <a:hlinkClick xmlns:r="http://schemas.openxmlformats.org/officeDocument/2006/relationships" r:id="rId1" tooltip="Click here to go to the next sheet"/>
            <a:extLst>
              <a:ext uri="{FF2B5EF4-FFF2-40B4-BE49-F238E27FC236}">
                <a16:creationId xmlns:a16="http://schemas.microsoft.com/office/drawing/2014/main" xmlns="" id="{9153B190-CA6E-4717-977E-F4F4054D66A0}"/>
              </a:ext>
            </a:extLst>
          </xdr:cNvPr>
          <xdr:cNvSpPr/>
        </xdr:nvSpPr>
        <xdr:spPr>
          <a:xfrm>
            <a:off x="6261100" y="3774948"/>
            <a:ext cx="1207008" cy="3566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sp macro="" textlink="">
        <xdr:nvSpPr>
          <xdr:cNvPr id="6" name="txt_WalkMePrevious" descr="Previous step button, hyperlinked to previous sheet">
            <a:hlinkClick xmlns:r="http://schemas.openxmlformats.org/officeDocument/2006/relationships" r:id="rId2" tooltip="Click here to go back to the previous sheet"/>
            <a:extLst>
              <a:ext uri="{FF2B5EF4-FFF2-40B4-BE49-F238E27FC236}">
                <a16:creationId xmlns:a16="http://schemas.microsoft.com/office/drawing/2014/main" xmlns="" id="{D83F06F2-D02A-4BA4-816C-3C87302E7180}"/>
              </a:ext>
            </a:extLst>
          </xdr:cNvPr>
          <xdr:cNvSpPr/>
        </xdr:nvSpPr>
        <xdr:spPr>
          <a:xfrm flipH="1">
            <a:off x="304800" y="3774948"/>
            <a:ext cx="1207008" cy="3566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sp macro="" textlink="">
        <xdr:nvSpPr>
          <xdr:cNvPr id="7" name="txt_WalkMeFeedback" descr="Feedback button, hyperlinked to web form">
            <a:hlinkClick xmlns:r="http://schemas.openxmlformats.org/officeDocument/2006/relationships" r:id="rId3" tooltip="Click to give us feedback on this tutorial"/>
            <a:extLst>
              <a:ext uri="{FF2B5EF4-FFF2-40B4-BE49-F238E27FC236}">
                <a16:creationId xmlns:a16="http://schemas.microsoft.com/office/drawing/2014/main" xmlns="" id="{7CB0015B-A178-4A78-9589-30BABED70582}"/>
              </a:ext>
            </a:extLst>
          </xdr:cNvPr>
          <xdr:cNvSpPr/>
        </xdr:nvSpPr>
        <xdr:spPr>
          <a:xfrm>
            <a:off x="3291839" y="4094988"/>
            <a:ext cx="1197864" cy="192024"/>
          </a:xfrm>
          <a:prstGeom prst="rect">
            <a:avLst/>
          </a:prstGeom>
          <a:solidFill>
            <a:schemeClr val="bg1">
              <a:lumMod val="85000"/>
            </a:schemeClr>
          </a:solidFill>
          <a:ln>
            <a:no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100" u="sng">
                <a:solidFill>
                  <a:sysClr val="windowText" lastClr="000000"/>
                </a:solidFill>
                <a:latin typeface="Segoe UI" panose="020B0502040204020203" pitchFamily="34" charset="0"/>
                <a:ea typeface="Segoe UI" pitchFamily="34" charset="0"/>
                <a:cs typeface="Segoe UI" pitchFamily="34" charset="0"/>
              </a:rPr>
              <a:t>Feedback</a:t>
            </a:r>
          </a:p>
        </xdr:txBody>
      </xdr:sp>
    </xdr:grpSp>
    <xdr:clientData/>
  </xdr:twoCellAnchor>
  <xdr:twoCellAnchor editAs="absolute">
    <xdr:from>
      <xdr:col>0</xdr:col>
      <xdr:colOff>495304</xdr:colOff>
      <xdr:row>5</xdr:row>
      <xdr:rowOff>102870</xdr:rowOff>
    </xdr:from>
    <xdr:to>
      <xdr:col>2</xdr:col>
      <xdr:colOff>3812</xdr:colOff>
      <xdr:row>7</xdr:row>
      <xdr:rowOff>33944</xdr:rowOff>
    </xdr:to>
    <xdr:sp macro="" textlink="">
      <xdr:nvSpPr>
        <xdr:cNvPr id="8" name="Tip Text 23" descr="The row field...">
          <a:extLst>
            <a:ext uri="{FF2B5EF4-FFF2-40B4-BE49-F238E27FC236}">
              <a16:creationId xmlns:a16="http://schemas.microsoft.com/office/drawing/2014/main" xmlns="" id="{25B3E6E4-AAAA-4EC1-8C01-177160C5AE2E}"/>
            </a:ext>
          </a:extLst>
        </xdr:cNvPr>
        <xdr:cNvSpPr txBox="1"/>
      </xdr:nvSpPr>
      <xdr:spPr>
        <a:xfrm>
          <a:off x="495304" y="1055370"/>
          <a:ext cx="1108708" cy="312074"/>
        </a:xfrm>
        <a:prstGeom prst="rect">
          <a:avLst/>
        </a:prstGeom>
        <a:solidFill>
          <a:schemeClr val="bg1"/>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b="0" noProof="0">
              <a:effectLst/>
              <a:latin typeface="Calibri" panose="020F0502020204030204" pitchFamily="34" charset="0"/>
              <a:ea typeface="Calibri" panose="020F0502020204030204" pitchFamily="34" charset="0"/>
              <a:cs typeface="Calibri" panose="020F0502020204030204" pitchFamily="34" charset="0"/>
            </a:rPr>
            <a:t>Row field</a:t>
          </a:r>
          <a:endParaRPr lang="en-US" sz="1100" noProof="0">
            <a:effectLst/>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absolute">
    <xdr:from>
      <xdr:col>3</xdr:col>
      <xdr:colOff>297901</xdr:colOff>
      <xdr:row>14</xdr:row>
      <xdr:rowOff>57152</xdr:rowOff>
    </xdr:from>
    <xdr:to>
      <xdr:col>7</xdr:col>
      <xdr:colOff>347431</xdr:colOff>
      <xdr:row>16</xdr:row>
      <xdr:rowOff>3171</xdr:rowOff>
    </xdr:to>
    <xdr:sp macro="" textlink="">
      <xdr:nvSpPr>
        <xdr:cNvPr id="9" name="Tip Text 25" descr="...along with the column field you just added...">
          <a:extLst>
            <a:ext uri="{FF2B5EF4-FFF2-40B4-BE49-F238E27FC236}">
              <a16:creationId xmlns:a16="http://schemas.microsoft.com/office/drawing/2014/main" xmlns="" id="{0032BC7D-BDA5-45A6-A759-FE577AEE8086}"/>
            </a:ext>
          </a:extLst>
        </xdr:cNvPr>
        <xdr:cNvSpPr txBox="1"/>
      </xdr:nvSpPr>
      <xdr:spPr>
        <a:xfrm>
          <a:off x="2888701" y="2724152"/>
          <a:ext cx="3021330" cy="327019"/>
        </a:xfrm>
        <a:prstGeom prst="rect">
          <a:avLst/>
        </a:prstGeom>
        <a:no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b="0" noProof="0">
              <a:effectLst/>
              <a:latin typeface="Calibri" panose="020F0502020204030204" pitchFamily="34" charset="0"/>
              <a:ea typeface="Calibri" panose="020F0502020204030204" pitchFamily="34" charset="0"/>
              <a:cs typeface="Calibri" panose="020F0502020204030204" pitchFamily="34" charset="0"/>
            </a:rPr>
            <a:t>Value field</a:t>
          </a:r>
          <a:endParaRPr lang="en-US" sz="1100" noProof="0">
            <a:effectLst/>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absolute">
    <xdr:from>
      <xdr:col>3</xdr:col>
      <xdr:colOff>32844</xdr:colOff>
      <xdr:row>7</xdr:row>
      <xdr:rowOff>3</xdr:rowOff>
    </xdr:from>
    <xdr:to>
      <xdr:col>8</xdr:col>
      <xdr:colOff>13137</xdr:colOff>
      <xdr:row>7</xdr:row>
      <xdr:rowOff>161928</xdr:rowOff>
    </xdr:to>
    <xdr:sp macro="" textlink="">
      <xdr:nvSpPr>
        <xdr:cNvPr id="10" name="shp_BraceBottom">
          <a:extLst>
            <a:ext uri="{FF2B5EF4-FFF2-40B4-BE49-F238E27FC236}">
              <a16:creationId xmlns:a16="http://schemas.microsoft.com/office/drawing/2014/main" xmlns="" id="{BFA5DF18-9736-4CF4-B77C-4F584C447345}"/>
            </a:ext>
          </a:extLst>
        </xdr:cNvPr>
        <xdr:cNvSpPr/>
      </xdr:nvSpPr>
      <xdr:spPr>
        <a:xfrm rot="5400000">
          <a:off x="4387740" y="-436177"/>
          <a:ext cx="171450" cy="3691759"/>
        </a:xfrm>
        <a:prstGeom prst="leftBrace">
          <a:avLst>
            <a:gd name="adj1" fmla="val 34667"/>
            <a:gd name="adj2" fmla="val 49300"/>
          </a:avLst>
        </a:prstGeom>
        <a:ln w="19050">
          <a:solidFill>
            <a:srgbClr val="217346"/>
          </a:solidFill>
          <a:prstDash val="sysDot"/>
          <a:headEnd type="non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marL="0" indent="0" algn="l"/>
          <a:endParaRPr lang="en-US" sz="1100">
            <a:solidFill>
              <a:schemeClr val="tx1"/>
            </a:solidFill>
            <a:latin typeface="+mn-lt"/>
            <a:ea typeface="+mn-ea"/>
            <a:cs typeface="+mn-cs"/>
          </a:endParaRPr>
        </a:p>
      </xdr:txBody>
    </xdr:sp>
    <xdr:clientData/>
  </xdr:twoCellAnchor>
  <xdr:twoCellAnchor editAs="absolute">
    <xdr:from>
      <xdr:col>3</xdr:col>
      <xdr:colOff>314094</xdr:colOff>
      <xdr:row>5</xdr:row>
      <xdr:rowOff>43815</xdr:rowOff>
    </xdr:from>
    <xdr:to>
      <xdr:col>7</xdr:col>
      <xdr:colOff>446729</xdr:colOff>
      <xdr:row>6</xdr:row>
      <xdr:rowOff>157769</xdr:rowOff>
    </xdr:to>
    <xdr:sp macro="" textlink="">
      <xdr:nvSpPr>
        <xdr:cNvPr id="11" name="Tip Text 24" descr="...divide up the value field.">
          <a:extLst>
            <a:ext uri="{FF2B5EF4-FFF2-40B4-BE49-F238E27FC236}">
              <a16:creationId xmlns:a16="http://schemas.microsoft.com/office/drawing/2014/main" xmlns="" id="{6227EEC0-7747-4D46-B133-C9A8FA06551B}"/>
            </a:ext>
          </a:extLst>
        </xdr:cNvPr>
        <xdr:cNvSpPr txBox="1"/>
      </xdr:nvSpPr>
      <xdr:spPr>
        <a:xfrm>
          <a:off x="2904894" y="996315"/>
          <a:ext cx="3104435" cy="304454"/>
        </a:xfrm>
        <a:prstGeom prst="rect">
          <a:avLst/>
        </a:prstGeom>
        <a:no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b="0" noProof="0">
              <a:effectLst/>
              <a:latin typeface="Calibri" panose="020F0502020204030204" pitchFamily="34" charset="0"/>
              <a:ea typeface="Calibri" panose="020F0502020204030204" pitchFamily="34" charset="0"/>
              <a:cs typeface="Calibri" panose="020F0502020204030204" pitchFamily="34" charset="0"/>
            </a:rPr>
            <a:t>Column field </a:t>
          </a:r>
          <a:endParaRPr lang="en-US" sz="1100" noProof="0">
            <a:effectLst/>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absolute">
    <xdr:from>
      <xdr:col>1</xdr:col>
      <xdr:colOff>383085</xdr:colOff>
      <xdr:row>5</xdr:row>
      <xdr:rowOff>152269</xdr:rowOff>
    </xdr:from>
    <xdr:to>
      <xdr:col>2</xdr:col>
      <xdr:colOff>694934</xdr:colOff>
      <xdr:row>9</xdr:row>
      <xdr:rowOff>143469</xdr:rowOff>
    </xdr:to>
    <xdr:sp macro="" textlink="">
      <xdr:nvSpPr>
        <xdr:cNvPr id="12" name="shp_ArrowCurved">
          <a:extLst>
            <a:ext uri="{FF2B5EF4-FFF2-40B4-BE49-F238E27FC236}">
              <a16:creationId xmlns:a16="http://schemas.microsoft.com/office/drawing/2014/main" xmlns="" id="{8B3C6B4E-C336-44F0-9190-D37C2E550C44}"/>
            </a:ext>
          </a:extLst>
        </xdr:cNvPr>
        <xdr:cNvSpPr/>
      </xdr:nvSpPr>
      <xdr:spPr>
        <a:xfrm rot="12380056">
          <a:off x="992685" y="1104769"/>
          <a:ext cx="1302449" cy="753200"/>
        </a:xfrm>
        <a:prstGeom prst="arc">
          <a:avLst>
            <a:gd name="adj1" fmla="val 16283853"/>
            <a:gd name="adj2" fmla="val 20754519"/>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editAs="absolute">
    <xdr:from>
      <xdr:col>3</xdr:col>
      <xdr:colOff>32852</xdr:colOff>
      <xdr:row>13</xdr:row>
      <xdr:rowOff>95254</xdr:rowOff>
    </xdr:from>
    <xdr:to>
      <xdr:col>8</xdr:col>
      <xdr:colOff>13144</xdr:colOff>
      <xdr:row>14</xdr:row>
      <xdr:rowOff>76204</xdr:rowOff>
    </xdr:to>
    <xdr:sp macro="" textlink="">
      <xdr:nvSpPr>
        <xdr:cNvPr id="13" name="shp_BraceBottom">
          <a:extLst>
            <a:ext uri="{FF2B5EF4-FFF2-40B4-BE49-F238E27FC236}">
              <a16:creationId xmlns:a16="http://schemas.microsoft.com/office/drawing/2014/main" xmlns="" id="{63EA3E57-9ED8-4BBD-915B-6665DAC7E655}"/>
            </a:ext>
          </a:extLst>
        </xdr:cNvPr>
        <xdr:cNvSpPr/>
      </xdr:nvSpPr>
      <xdr:spPr>
        <a:xfrm rot="16200000">
          <a:off x="4385448" y="809958"/>
          <a:ext cx="171450" cy="3695042"/>
        </a:xfrm>
        <a:prstGeom prst="leftBrace">
          <a:avLst>
            <a:gd name="adj1" fmla="val 34667"/>
            <a:gd name="adj2" fmla="val 49300"/>
          </a:avLst>
        </a:prstGeom>
        <a:ln w="19050">
          <a:solidFill>
            <a:srgbClr val="217346"/>
          </a:solidFill>
          <a:prstDash val="sysDot"/>
          <a:headEnd type="non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marL="0" indent="0" algn="l"/>
          <a:endParaRPr lang="en-US" sz="1100">
            <a:solidFill>
              <a:schemeClr val="tx1"/>
            </a:solidFill>
            <a:latin typeface="+mn-lt"/>
            <a:ea typeface="+mn-ea"/>
            <a:cs typeface="+mn-cs"/>
          </a:endParaRPr>
        </a:p>
      </xdr:txBody>
    </xdr:sp>
    <xdr:clientData/>
  </xdr:twoCellAnchor>
</xdr:wsDr>
</file>

<file path=xl/drawings/drawing10.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12</xdr:col>
      <xdr:colOff>113918</xdr:colOff>
      <xdr:row>22</xdr:row>
      <xdr:rowOff>115062</xdr:rowOff>
    </xdr:to>
    <xdr:grpSp>
      <xdr:nvGrpSpPr>
        <xdr:cNvPr id="2" name="grp_WalkMe">
          <a:extLst>
            <a:ext uri="{FF2B5EF4-FFF2-40B4-BE49-F238E27FC236}">
              <a16:creationId xmlns:a16="http://schemas.microsoft.com/office/drawing/2014/main" xmlns="" id="{5780B9E4-F38F-4E3E-8C13-106112C5962A}"/>
            </a:ext>
          </a:extLst>
        </xdr:cNvPr>
        <xdr:cNvGrpSpPr/>
      </xdr:nvGrpSpPr>
      <xdr:grpSpPr>
        <a:xfrm>
          <a:off x="0" y="0"/>
          <a:ext cx="7781543" cy="4306062"/>
          <a:chOff x="0" y="0"/>
          <a:chExt cx="7781543" cy="4439412"/>
        </a:xfrm>
      </xdr:grpSpPr>
      <xdr:sp macro="" textlink="">
        <xdr:nvSpPr>
          <xdr:cNvPr id="3" name="txt_WalkMeHeader" descr="If you think about it in a simplified way, the row field is on the left, and the column field at the top. Then they both intersect and each condition is applied to the value field.">
            <a:extLst>
              <a:ext uri="{FF2B5EF4-FFF2-40B4-BE49-F238E27FC236}">
                <a16:creationId xmlns:a16="http://schemas.microsoft.com/office/drawing/2014/main" xmlns="" id="{7A9ADFB3-433E-4DC5-B7A8-88F30925B9DA}"/>
              </a:ext>
            </a:extLst>
          </xdr:cNvPr>
          <xdr:cNvSpPr txBox="1"/>
        </xdr:nvSpPr>
        <xdr:spPr>
          <a:xfrm>
            <a:off x="0" y="0"/>
            <a:ext cx="7781543"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500" b="0" kern="1200" baseline="0">
                <a:solidFill>
                  <a:schemeClr val="dk1"/>
                </a:solidFill>
                <a:effectLst/>
                <a:latin typeface="Segoe UI Semibold" panose="020B0702040204020203" pitchFamily="34" charset="0"/>
                <a:ea typeface="+mn-ea"/>
                <a:cs typeface="Segoe UI Semibold" panose="020B0702040204020203" pitchFamily="34" charset="0"/>
              </a:rPr>
              <a:t>Here's another way to think about it: </a:t>
            </a:r>
            <a:r>
              <a:rPr lang="en-US" sz="1500" b="0" kern="1200" baseline="0">
                <a:solidFill>
                  <a:schemeClr val="dk1"/>
                </a:solidFill>
                <a:effectLst/>
                <a:latin typeface="Segoe UI Light" panose="020B0502040204020203" pitchFamily="34" charset="0"/>
                <a:ea typeface="+mn-ea"/>
                <a:cs typeface="Segoe UI Light" panose="020B0502040204020203" pitchFamily="34" charset="0"/>
              </a:rPr>
              <a:t>The row field is on the left, and the column field at the top. Each of these provide a condition to the value field, which sums them up.</a:t>
            </a:r>
            <a:endParaRPr lang="en-US" sz="1500">
              <a:effectLst/>
              <a:latin typeface="Segoe UI Light" panose="020B0502040204020203" pitchFamily="34" charset="0"/>
              <a:cs typeface="Segoe UI Light" panose="020B0502040204020203" pitchFamily="34" charset="0"/>
            </a:endParaRPr>
          </a:p>
        </xdr:txBody>
      </xdr:sp>
      <xdr:sp macro="" textlink="">
        <xdr:nvSpPr>
          <xdr:cNvPr id="4" name="txt_WalkMeFooter">
            <a:extLst>
              <a:ext uri="{FF2B5EF4-FFF2-40B4-BE49-F238E27FC236}">
                <a16:creationId xmlns:a16="http://schemas.microsoft.com/office/drawing/2014/main" xmlns="" id="{C0AA861C-5908-4A30-B099-4154A7EA7BE9}"/>
              </a:ext>
            </a:extLst>
          </xdr:cNvPr>
          <xdr:cNvSpPr txBox="1"/>
        </xdr:nvSpPr>
        <xdr:spPr>
          <a:xfrm>
            <a:off x="0" y="3619500"/>
            <a:ext cx="7781543" cy="66751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sp macro="" textlink="">
        <xdr:nvSpPr>
          <xdr:cNvPr id="5" name="txt_WalkMeFeedback" descr="Feedback button, hyperlinked to web form">
            <a:hlinkClick xmlns:r="http://schemas.openxmlformats.org/officeDocument/2006/relationships" r:id="rId1"/>
            <a:extLst>
              <a:ext uri="{FF2B5EF4-FFF2-40B4-BE49-F238E27FC236}">
                <a16:creationId xmlns:a16="http://schemas.microsoft.com/office/drawing/2014/main" xmlns="" id="{73ECE30E-B482-4537-9550-EC4DC20E9C09}"/>
              </a:ext>
            </a:extLst>
          </xdr:cNvPr>
          <xdr:cNvSpPr/>
        </xdr:nvSpPr>
        <xdr:spPr>
          <a:xfrm>
            <a:off x="3291839" y="4094988"/>
            <a:ext cx="1197864" cy="192024"/>
          </a:xfrm>
          <a:prstGeom prst="rect">
            <a:avLst/>
          </a:prstGeom>
          <a:solidFill>
            <a:schemeClr val="bg1">
              <a:lumMod val="85000"/>
            </a:schemeClr>
          </a:solidFill>
          <a:ln>
            <a:no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100" u="sng">
                <a:solidFill>
                  <a:sysClr val="windowText" lastClr="000000"/>
                </a:solidFill>
                <a:latin typeface="Segoe UI" pitchFamily="34" charset="0"/>
                <a:ea typeface="Segoe UI" pitchFamily="34" charset="0"/>
                <a:cs typeface="Segoe UI" pitchFamily="34" charset="0"/>
              </a:rPr>
              <a:t>Feedback</a:t>
            </a:r>
          </a:p>
        </xdr:txBody>
      </xdr:sp>
    </xdr:grpSp>
    <xdr:clientData fLocksWithSheet="0"/>
  </xdr:twoCellAnchor>
  <xdr:twoCellAnchor editAs="absolute">
    <xdr:from>
      <xdr:col>0</xdr:col>
      <xdr:colOff>304800</xdr:colOff>
      <xdr:row>19</xdr:row>
      <xdr:rowOff>22098</xdr:rowOff>
    </xdr:from>
    <xdr:to>
      <xdr:col>11</xdr:col>
      <xdr:colOff>410083</xdr:colOff>
      <xdr:row>21</xdr:row>
      <xdr:rowOff>7239</xdr:rowOff>
    </xdr:to>
    <xdr:grpSp>
      <xdr:nvGrpSpPr>
        <xdr:cNvPr id="6" name="Group 5">
          <a:extLst>
            <a:ext uri="{FF2B5EF4-FFF2-40B4-BE49-F238E27FC236}">
              <a16:creationId xmlns:a16="http://schemas.microsoft.com/office/drawing/2014/main" xmlns="" id="{2A5E8DAA-B926-4F78-94A1-5EA80ED39826}"/>
            </a:ext>
          </a:extLst>
        </xdr:cNvPr>
        <xdr:cNvGrpSpPr/>
      </xdr:nvGrpSpPr>
      <xdr:grpSpPr>
        <a:xfrm>
          <a:off x="304800" y="3641598"/>
          <a:ext cx="7163308" cy="366141"/>
          <a:chOff x="304799" y="3774945"/>
          <a:chExt cx="7163308" cy="356619"/>
        </a:xfrm>
      </xdr:grpSpPr>
      <xdr:sp macro="" textlink="">
        <xdr:nvSpPr>
          <xdr:cNvPr id="7" name="txt_WalkMeNext" descr="Next step button, hyperlinked to next sheet">
            <a:hlinkClick xmlns:r="http://schemas.openxmlformats.org/officeDocument/2006/relationships" r:id="rId2" tooltip="Click here to go to the next sheet"/>
            <a:extLst>
              <a:ext uri="{FF2B5EF4-FFF2-40B4-BE49-F238E27FC236}">
                <a16:creationId xmlns:a16="http://schemas.microsoft.com/office/drawing/2014/main" xmlns="" id="{56265420-D8B4-4284-AF16-38C128548F9B}"/>
              </a:ext>
            </a:extLst>
          </xdr:cNvPr>
          <xdr:cNvSpPr/>
        </xdr:nvSpPr>
        <xdr:spPr>
          <a:xfrm>
            <a:off x="6261100" y="3774948"/>
            <a:ext cx="1207008" cy="3566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sp macro="" textlink="">
        <xdr:nvSpPr>
          <xdr:cNvPr id="8" name="txt_WalkMePrevious" descr="Previous step button, hyperlinked to previous sheet">
            <a:hlinkClick xmlns:r="http://schemas.openxmlformats.org/officeDocument/2006/relationships" r:id="rId3" tooltip="Click here to go back to the previous sheet"/>
            <a:extLst>
              <a:ext uri="{FF2B5EF4-FFF2-40B4-BE49-F238E27FC236}">
                <a16:creationId xmlns:a16="http://schemas.microsoft.com/office/drawing/2014/main" xmlns="" id="{3B863D47-9377-4D61-9619-D3D2166D6493}"/>
              </a:ext>
            </a:extLst>
          </xdr:cNvPr>
          <xdr:cNvSpPr/>
        </xdr:nvSpPr>
        <xdr:spPr>
          <a:xfrm flipH="1">
            <a:off x="304800" y="3774948"/>
            <a:ext cx="1207008" cy="3566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grpSp>
    <xdr:clientData fLocksWithSheet="0"/>
  </xdr:twoCellAnchor>
  <xdr:twoCellAnchor editAs="oneCell">
    <xdr:from>
      <xdr:col>3</xdr:col>
      <xdr:colOff>809625</xdr:colOff>
      <xdr:row>6</xdr:row>
      <xdr:rowOff>38100</xdr:rowOff>
    </xdr:from>
    <xdr:to>
      <xdr:col>7</xdr:col>
      <xdr:colOff>514350</xdr:colOff>
      <xdr:row>17</xdr:row>
      <xdr:rowOff>0</xdr:rowOff>
    </xdr:to>
    <xdr:pic>
      <xdr:nvPicPr>
        <xdr:cNvPr id="9" name="Picture 8">
          <a:extLst>
            <a:ext uri="{FF2B5EF4-FFF2-40B4-BE49-F238E27FC236}">
              <a16:creationId xmlns:a16="http://schemas.microsoft.com/office/drawing/2014/main" xmlns="" id="{0D6FBD64-5499-47CC-A6E1-FDF2EFFBC40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638425" y="1181100"/>
          <a:ext cx="2495550" cy="2057400"/>
        </a:xfrm>
        <a:prstGeom prst="rect">
          <a:avLst/>
        </a:prstGeom>
        <a:noFill/>
        <a:ln>
          <a:solidFill>
            <a:schemeClr val="bg1">
              <a:lumMod val="50000"/>
            </a:schemeClr>
          </a:solidFill>
        </a:ln>
        <a:extLst>
          <a:ext uri="{909E8E84-426E-40DD-AFC4-6F175D3DCCD1}">
            <a14:hiddenFill xmlns:a14="http://schemas.microsoft.com/office/drawing/2010/main">
              <a:solidFill>
                <a:srgbClr val="FFFFFF"/>
              </a:solidFill>
            </a14:hiddenFill>
          </a:ext>
        </a:extLst>
      </xdr:spPr>
    </xdr:pic>
    <xdr:clientData/>
  </xdr:twoCellAnchor>
  <xdr:twoCellAnchor editAs="absolute">
    <xdr:from>
      <xdr:col>1</xdr:col>
      <xdr:colOff>533400</xdr:colOff>
      <xdr:row>10</xdr:row>
      <xdr:rowOff>161925</xdr:rowOff>
    </xdr:from>
    <xdr:to>
      <xdr:col>3</xdr:col>
      <xdr:colOff>765808</xdr:colOff>
      <xdr:row>12</xdr:row>
      <xdr:rowOff>83474</xdr:rowOff>
    </xdr:to>
    <xdr:sp macro="" textlink="">
      <xdr:nvSpPr>
        <xdr:cNvPr id="10" name="Tip Text 23" descr="The row field...">
          <a:extLst>
            <a:ext uri="{FF2B5EF4-FFF2-40B4-BE49-F238E27FC236}">
              <a16:creationId xmlns:a16="http://schemas.microsoft.com/office/drawing/2014/main" xmlns="" id="{EE7A1009-9AC3-47A4-BD3F-1E4020FC0E16}"/>
            </a:ext>
          </a:extLst>
        </xdr:cNvPr>
        <xdr:cNvSpPr txBox="1"/>
      </xdr:nvSpPr>
      <xdr:spPr>
        <a:xfrm>
          <a:off x="1143000" y="2047875"/>
          <a:ext cx="1451608" cy="312074"/>
        </a:xfrm>
        <a:prstGeom prst="rect">
          <a:avLst/>
        </a:prstGeom>
        <a:solidFill>
          <a:schemeClr val="bg1"/>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b="0" noProof="0">
              <a:effectLst/>
              <a:latin typeface="Calibri" panose="020F0502020204030204" pitchFamily="34" charset="0"/>
              <a:ea typeface="Calibri" panose="020F0502020204030204" pitchFamily="34" charset="0"/>
              <a:cs typeface="Calibri" panose="020F0502020204030204" pitchFamily="34" charset="0"/>
            </a:rPr>
            <a:t>The row field provides a condition....</a:t>
          </a:r>
          <a:endParaRPr lang="en-US" sz="1100" noProof="0">
            <a:effectLst/>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absolute">
    <xdr:from>
      <xdr:col>3</xdr:col>
      <xdr:colOff>82978</xdr:colOff>
      <xdr:row>11</xdr:row>
      <xdr:rowOff>129860</xdr:rowOff>
    </xdr:from>
    <xdr:to>
      <xdr:col>3</xdr:col>
      <xdr:colOff>943023</xdr:colOff>
      <xdr:row>14</xdr:row>
      <xdr:rowOff>159404</xdr:rowOff>
    </xdr:to>
    <xdr:sp macro="" textlink="">
      <xdr:nvSpPr>
        <xdr:cNvPr id="11" name="shp_ArrowCurved">
          <a:extLst>
            <a:ext uri="{FF2B5EF4-FFF2-40B4-BE49-F238E27FC236}">
              <a16:creationId xmlns:a16="http://schemas.microsoft.com/office/drawing/2014/main" xmlns="" id="{F0CADA3D-222D-4C38-A5E3-4E0AAD5C9DB7}"/>
            </a:ext>
          </a:extLst>
        </xdr:cNvPr>
        <xdr:cNvSpPr/>
      </xdr:nvSpPr>
      <xdr:spPr>
        <a:xfrm rot="10433276">
          <a:off x="1911778" y="2206310"/>
          <a:ext cx="860045" cy="601044"/>
        </a:xfrm>
        <a:prstGeom prst="arc">
          <a:avLst>
            <a:gd name="adj1" fmla="val 14127603"/>
            <a:gd name="adj2" fmla="val 56957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editAs="absolute">
    <xdr:from>
      <xdr:col>8</xdr:col>
      <xdr:colOff>152400</xdr:colOff>
      <xdr:row>5</xdr:row>
      <xdr:rowOff>171450</xdr:rowOff>
    </xdr:from>
    <xdr:to>
      <xdr:col>10</xdr:col>
      <xdr:colOff>457200</xdr:colOff>
      <xdr:row>7</xdr:row>
      <xdr:rowOff>92999</xdr:rowOff>
    </xdr:to>
    <xdr:sp macro="" textlink="">
      <xdr:nvSpPr>
        <xdr:cNvPr id="12" name="Tip Text 23" descr="The row field...">
          <a:extLst>
            <a:ext uri="{FF2B5EF4-FFF2-40B4-BE49-F238E27FC236}">
              <a16:creationId xmlns:a16="http://schemas.microsoft.com/office/drawing/2014/main" xmlns="" id="{87F7AD7E-7534-4C02-BA4D-CED2117EE407}"/>
            </a:ext>
          </a:extLst>
        </xdr:cNvPr>
        <xdr:cNvSpPr txBox="1"/>
      </xdr:nvSpPr>
      <xdr:spPr>
        <a:xfrm>
          <a:off x="5381625" y="1104900"/>
          <a:ext cx="1524000" cy="312074"/>
        </a:xfrm>
        <a:prstGeom prst="rect">
          <a:avLst/>
        </a:prstGeom>
        <a:solidFill>
          <a:schemeClr val="bg1"/>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b="0" noProof="0">
              <a:effectLst/>
              <a:latin typeface="Calibri" panose="020F0502020204030204" pitchFamily="34" charset="0"/>
              <a:ea typeface="Calibri" panose="020F0502020204030204" pitchFamily="34" charset="0"/>
              <a:cs typeface="Calibri" panose="020F0502020204030204" pitchFamily="34" charset="0"/>
            </a:rPr>
            <a:t>...and the column field provides a condition....</a:t>
          </a:r>
          <a:endParaRPr lang="en-US" sz="1100" noProof="0">
            <a:effectLst/>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absolute">
    <xdr:from>
      <xdr:col>7</xdr:col>
      <xdr:colOff>378253</xdr:colOff>
      <xdr:row>6</xdr:row>
      <xdr:rowOff>53659</xdr:rowOff>
    </xdr:from>
    <xdr:to>
      <xdr:col>9</xdr:col>
      <xdr:colOff>19098</xdr:colOff>
      <xdr:row>9</xdr:row>
      <xdr:rowOff>83203</xdr:rowOff>
    </xdr:to>
    <xdr:sp macro="" textlink="">
      <xdr:nvSpPr>
        <xdr:cNvPr id="13" name="shp_ArrowCurved">
          <a:extLst>
            <a:ext uri="{FF2B5EF4-FFF2-40B4-BE49-F238E27FC236}">
              <a16:creationId xmlns:a16="http://schemas.microsoft.com/office/drawing/2014/main" xmlns="" id="{7DB77AE4-9EBE-4F16-AE38-D70BEB3C6B3E}"/>
            </a:ext>
          </a:extLst>
        </xdr:cNvPr>
        <xdr:cNvSpPr/>
      </xdr:nvSpPr>
      <xdr:spPr>
        <a:xfrm rot="11166724" flipH="1">
          <a:off x="4997878" y="1187134"/>
          <a:ext cx="860045" cy="601044"/>
        </a:xfrm>
        <a:prstGeom prst="arc">
          <a:avLst>
            <a:gd name="adj1" fmla="val 14127603"/>
            <a:gd name="adj2" fmla="val 56957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editAs="absolute">
    <xdr:from>
      <xdr:col>8</xdr:col>
      <xdr:colOff>152400</xdr:colOff>
      <xdr:row>11</xdr:row>
      <xdr:rowOff>95250</xdr:rowOff>
    </xdr:from>
    <xdr:to>
      <xdr:col>10</xdr:col>
      <xdr:colOff>457200</xdr:colOff>
      <xdr:row>13</xdr:row>
      <xdr:rowOff>26324</xdr:rowOff>
    </xdr:to>
    <xdr:sp macro="" textlink="">
      <xdr:nvSpPr>
        <xdr:cNvPr id="14" name="Tip Text 23" descr="The row field...">
          <a:extLst>
            <a:ext uri="{FF2B5EF4-FFF2-40B4-BE49-F238E27FC236}">
              <a16:creationId xmlns:a16="http://schemas.microsoft.com/office/drawing/2014/main" xmlns="" id="{18DE8A78-B5A1-4B33-874A-2C8D51393477}"/>
            </a:ext>
          </a:extLst>
        </xdr:cNvPr>
        <xdr:cNvSpPr txBox="1"/>
      </xdr:nvSpPr>
      <xdr:spPr>
        <a:xfrm>
          <a:off x="5381625" y="2181225"/>
          <a:ext cx="1524000" cy="312074"/>
        </a:xfrm>
        <a:prstGeom prst="rect">
          <a:avLst/>
        </a:prstGeom>
        <a:solidFill>
          <a:schemeClr val="bg1"/>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b="0" noProof="0">
              <a:effectLst/>
              <a:latin typeface="Calibri" panose="020F0502020204030204" pitchFamily="34" charset="0"/>
              <a:ea typeface="Calibri" panose="020F0502020204030204" pitchFamily="34" charset="0"/>
              <a:cs typeface="Calibri" panose="020F0502020204030204" pitchFamily="34" charset="0"/>
            </a:rPr>
            <a:t>...and the value field sums them up.</a:t>
          </a:r>
          <a:endParaRPr lang="en-US" sz="1100" noProof="0">
            <a:effectLst/>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absolute">
    <xdr:from>
      <xdr:col>7</xdr:col>
      <xdr:colOff>378253</xdr:colOff>
      <xdr:row>11</xdr:row>
      <xdr:rowOff>82234</xdr:rowOff>
    </xdr:from>
    <xdr:to>
      <xdr:col>9</xdr:col>
      <xdr:colOff>19098</xdr:colOff>
      <xdr:row>14</xdr:row>
      <xdr:rowOff>121303</xdr:rowOff>
    </xdr:to>
    <xdr:sp macro="" textlink="">
      <xdr:nvSpPr>
        <xdr:cNvPr id="15" name="shp_ArrowCurved">
          <a:extLst>
            <a:ext uri="{FF2B5EF4-FFF2-40B4-BE49-F238E27FC236}">
              <a16:creationId xmlns:a16="http://schemas.microsoft.com/office/drawing/2014/main" xmlns="" id="{263E061F-A2FB-495B-9541-59975B87B6B7}"/>
            </a:ext>
          </a:extLst>
        </xdr:cNvPr>
        <xdr:cNvSpPr/>
      </xdr:nvSpPr>
      <xdr:spPr>
        <a:xfrm rot="11166724" flipH="1">
          <a:off x="4997878" y="2168209"/>
          <a:ext cx="860045" cy="601044"/>
        </a:xfrm>
        <a:prstGeom prst="arc">
          <a:avLst>
            <a:gd name="adj1" fmla="val 14127603"/>
            <a:gd name="adj2" fmla="val 2075296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466725</xdr:colOff>
      <xdr:row>36</xdr:row>
      <xdr:rowOff>86787</xdr:rowOff>
    </xdr:to>
    <xdr:grpSp>
      <xdr:nvGrpSpPr>
        <xdr:cNvPr id="2" name="Group 1">
          <a:extLst>
            <a:ext uri="{FF2B5EF4-FFF2-40B4-BE49-F238E27FC236}">
              <a16:creationId xmlns:a16="http://schemas.microsoft.com/office/drawing/2014/main" xmlns="" id="{C1C44C37-4F24-4CC7-AD74-FBF7AB23A2E6}"/>
            </a:ext>
          </a:extLst>
        </xdr:cNvPr>
        <xdr:cNvGrpSpPr/>
      </xdr:nvGrpSpPr>
      <xdr:grpSpPr>
        <a:xfrm>
          <a:off x="0" y="0"/>
          <a:ext cx="7781925" cy="6944787"/>
          <a:chOff x="0" y="0"/>
          <a:chExt cx="7781925" cy="6944787"/>
        </a:xfrm>
      </xdr:grpSpPr>
      <xdr:sp macro="" textlink="">
        <xdr:nvSpPr>
          <xdr:cNvPr id="3" name="txt_WalkMeHeader" descr="That's the same way to think about it when you use the fields list. The row field is on the left, and the column field at the top. Then they both intersect and provide the value field.">
            <a:extLst>
              <a:ext uri="{FF2B5EF4-FFF2-40B4-BE49-F238E27FC236}">
                <a16:creationId xmlns:a16="http://schemas.microsoft.com/office/drawing/2014/main" xmlns="" id="{023010DC-DBD7-46D4-BE66-910D9F0D9052}"/>
              </a:ext>
            </a:extLst>
          </xdr:cNvPr>
          <xdr:cNvSpPr txBox="1"/>
        </xdr:nvSpPr>
        <xdr:spPr>
          <a:xfrm>
            <a:off x="0" y="0"/>
            <a:ext cx="7781925" cy="790575"/>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500" b="0" kern="1200" baseline="0">
                <a:solidFill>
                  <a:schemeClr val="dk1"/>
                </a:solidFill>
                <a:effectLst/>
                <a:latin typeface="Segoe UI Semibold" panose="020B0702040204020203" pitchFamily="34" charset="0"/>
                <a:ea typeface="+mn-ea"/>
                <a:cs typeface="Segoe UI Semibold" panose="020B0702040204020203" pitchFamily="34" charset="0"/>
              </a:rPr>
              <a:t>Think of it that way when using the fields list. </a:t>
            </a:r>
            <a:r>
              <a:rPr kumimoji="0" lang="en-US" sz="1500" b="0" i="0" u="none" strike="noStrike" kern="1200" cap="none" spc="0" normalizeH="0" baseline="0" noProof="0">
                <a:ln>
                  <a:noFill/>
                </a:ln>
                <a:solidFill>
                  <a:prstClr val="black"/>
                </a:solidFill>
                <a:effectLst/>
                <a:uLnTx/>
                <a:uFillTx/>
                <a:latin typeface="Segoe UI Light" panose="020B0502040204020203" pitchFamily="34" charset="0"/>
                <a:ea typeface="+mn-ea"/>
                <a:cs typeface="Segoe UI Light" panose="020B0502040204020203" pitchFamily="34" charset="0"/>
              </a:rPr>
              <a:t>The row field is on the left, and the column field at the top. Each of these provide a condition to the value field, which sums them up.</a:t>
            </a:r>
            <a:endParaRPr lang="en-US" sz="1500">
              <a:effectLst/>
              <a:latin typeface="Segoe UI Light" panose="020B0502040204020203" pitchFamily="34" charset="0"/>
              <a:cs typeface="Segoe UI Light" panose="020B0502040204020203" pitchFamily="34" charset="0"/>
            </a:endParaRPr>
          </a:p>
        </xdr:txBody>
      </xdr:sp>
      <xdr:sp macro="" textlink="">
        <xdr:nvSpPr>
          <xdr:cNvPr id="4" name="txt_WalkMeFooter">
            <a:extLst>
              <a:ext uri="{FF2B5EF4-FFF2-40B4-BE49-F238E27FC236}">
                <a16:creationId xmlns:a16="http://schemas.microsoft.com/office/drawing/2014/main" xmlns="" id="{210D5BFF-D769-4E16-A96C-7D261DA62338}"/>
              </a:ext>
            </a:extLst>
          </xdr:cNvPr>
          <xdr:cNvSpPr txBox="1"/>
        </xdr:nvSpPr>
        <xdr:spPr>
          <a:xfrm>
            <a:off x="0" y="6278037"/>
            <a:ext cx="7781925" cy="6667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sp macro="" textlink="">
        <xdr:nvSpPr>
          <xdr:cNvPr id="5" name="txt_WalkMeNext" descr="Next step button, hyperlinked to next sheet">
            <a:hlinkClick xmlns:r="http://schemas.openxmlformats.org/officeDocument/2006/relationships" r:id="rId1" tooltip="Click here to go to the next sheet"/>
            <a:extLst>
              <a:ext uri="{FF2B5EF4-FFF2-40B4-BE49-F238E27FC236}">
                <a16:creationId xmlns:a16="http://schemas.microsoft.com/office/drawing/2014/main" xmlns="" id="{4B0958F4-D87F-45C6-B4C2-B1B1380699D1}"/>
              </a:ext>
            </a:extLst>
          </xdr:cNvPr>
          <xdr:cNvSpPr/>
        </xdr:nvSpPr>
        <xdr:spPr>
          <a:xfrm>
            <a:off x="6219825" y="6432613"/>
            <a:ext cx="1207008" cy="3575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sp macro="" textlink="">
        <xdr:nvSpPr>
          <xdr:cNvPr id="6" name="txt_WalkMePrevious" descr="Previous step button, hyperlinked to previous sheet">
            <a:hlinkClick xmlns:r="http://schemas.openxmlformats.org/officeDocument/2006/relationships" r:id="rId2" tooltip="Click here to go back to the previous sheet"/>
            <a:extLst>
              <a:ext uri="{FF2B5EF4-FFF2-40B4-BE49-F238E27FC236}">
                <a16:creationId xmlns:a16="http://schemas.microsoft.com/office/drawing/2014/main" xmlns="" id="{546855B6-9216-4A9D-A71D-977E7A6D780F}"/>
              </a:ext>
            </a:extLst>
          </xdr:cNvPr>
          <xdr:cNvSpPr/>
        </xdr:nvSpPr>
        <xdr:spPr>
          <a:xfrm flipH="1">
            <a:off x="342900" y="6432613"/>
            <a:ext cx="1208405" cy="3575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sp macro="" textlink="">
        <xdr:nvSpPr>
          <xdr:cNvPr id="7" name="txt_WalkMeFeedback" descr="Feedback button, hyperlinked to web form">
            <a:hlinkClick xmlns:r="http://schemas.openxmlformats.org/officeDocument/2006/relationships" r:id="rId3" tooltip="Click to give us feedback on this tutorial"/>
            <a:extLst>
              <a:ext uri="{FF2B5EF4-FFF2-40B4-BE49-F238E27FC236}">
                <a16:creationId xmlns:a16="http://schemas.microsoft.com/office/drawing/2014/main" xmlns="" id="{7130BCAD-A5B4-4E90-BE67-3140E97AD374}"/>
              </a:ext>
            </a:extLst>
          </xdr:cNvPr>
          <xdr:cNvSpPr/>
        </xdr:nvSpPr>
        <xdr:spPr>
          <a:xfrm>
            <a:off x="3291522" y="6743619"/>
            <a:ext cx="1198880" cy="201168"/>
          </a:xfrm>
          <a:prstGeom prst="rect">
            <a:avLst/>
          </a:prstGeom>
          <a:solidFill>
            <a:schemeClr val="bg1">
              <a:lumMod val="85000"/>
            </a:schemeClr>
          </a:solidFill>
          <a:ln>
            <a:no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100" u="sng">
                <a:solidFill>
                  <a:sysClr val="windowText" lastClr="000000"/>
                </a:solidFill>
                <a:latin typeface="Segoe UI" pitchFamily="34" charset="0"/>
                <a:ea typeface="Segoe UI" pitchFamily="34" charset="0"/>
                <a:cs typeface="Segoe UI" pitchFamily="34" charset="0"/>
              </a:rPr>
              <a:t>Feedback</a:t>
            </a:r>
          </a:p>
        </xdr:txBody>
      </xdr:sp>
    </xdr:grpSp>
    <xdr:clientData/>
  </xdr:twoCellAnchor>
  <xdr:twoCellAnchor editAs="oneCell">
    <xdr:from>
      <xdr:col>4</xdr:col>
      <xdr:colOff>219075</xdr:colOff>
      <xdr:row>5</xdr:row>
      <xdr:rowOff>33337</xdr:rowOff>
    </xdr:from>
    <xdr:to>
      <xdr:col>8</xdr:col>
      <xdr:colOff>247650</xdr:colOff>
      <xdr:row>31</xdr:row>
      <xdr:rowOff>180974</xdr:rowOff>
    </xdr:to>
    <xdr:pic>
      <xdr:nvPicPr>
        <xdr:cNvPr id="8" name="Picture 7">
          <a:extLst>
            <a:ext uri="{FF2B5EF4-FFF2-40B4-BE49-F238E27FC236}">
              <a16:creationId xmlns:a16="http://schemas.microsoft.com/office/drawing/2014/main" xmlns="" id="{71E13CFE-D80D-4C26-A4ED-85A357BF273A}"/>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657475" y="985837"/>
          <a:ext cx="2466975" cy="5105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absolute">
    <xdr:from>
      <xdr:col>1</xdr:col>
      <xdr:colOff>561975</xdr:colOff>
      <xdr:row>24</xdr:row>
      <xdr:rowOff>133350</xdr:rowOff>
    </xdr:from>
    <xdr:to>
      <xdr:col>4</xdr:col>
      <xdr:colOff>184783</xdr:colOff>
      <xdr:row>26</xdr:row>
      <xdr:rowOff>64424</xdr:rowOff>
    </xdr:to>
    <xdr:sp macro="" textlink="">
      <xdr:nvSpPr>
        <xdr:cNvPr id="9" name="Tip Text 23" descr="The row field...">
          <a:extLst>
            <a:ext uri="{FF2B5EF4-FFF2-40B4-BE49-F238E27FC236}">
              <a16:creationId xmlns:a16="http://schemas.microsoft.com/office/drawing/2014/main" xmlns="" id="{2E4CDD29-975C-4437-8652-A825C407E60F}"/>
            </a:ext>
          </a:extLst>
        </xdr:cNvPr>
        <xdr:cNvSpPr txBox="1"/>
      </xdr:nvSpPr>
      <xdr:spPr>
        <a:xfrm>
          <a:off x="1171575" y="4705350"/>
          <a:ext cx="1451608" cy="312074"/>
        </a:xfrm>
        <a:prstGeom prst="rect">
          <a:avLst/>
        </a:prstGeom>
        <a:solidFill>
          <a:schemeClr val="bg1"/>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b="0" noProof="0">
              <a:effectLst/>
              <a:latin typeface="Calibri" panose="020F0502020204030204" pitchFamily="34" charset="0"/>
              <a:ea typeface="Calibri" panose="020F0502020204030204" pitchFamily="34" charset="0"/>
              <a:cs typeface="Calibri" panose="020F0502020204030204" pitchFamily="34" charset="0"/>
            </a:rPr>
            <a:t>The row field provides a condition....</a:t>
          </a:r>
          <a:endParaRPr lang="en-US" sz="1100" noProof="0">
            <a:effectLst/>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absolute">
    <xdr:from>
      <xdr:col>3</xdr:col>
      <xdr:colOff>102028</xdr:colOff>
      <xdr:row>25</xdr:row>
      <xdr:rowOff>120335</xdr:rowOff>
    </xdr:from>
    <xdr:to>
      <xdr:col>4</xdr:col>
      <xdr:colOff>352473</xdr:colOff>
      <xdr:row>28</xdr:row>
      <xdr:rowOff>149879</xdr:rowOff>
    </xdr:to>
    <xdr:sp macro="" textlink="">
      <xdr:nvSpPr>
        <xdr:cNvPr id="10" name="shp_ArrowCurved">
          <a:extLst>
            <a:ext uri="{FF2B5EF4-FFF2-40B4-BE49-F238E27FC236}">
              <a16:creationId xmlns:a16="http://schemas.microsoft.com/office/drawing/2014/main" xmlns="" id="{7595F958-F1EC-4A49-87BE-BAE102910C2E}"/>
            </a:ext>
          </a:extLst>
        </xdr:cNvPr>
        <xdr:cNvSpPr/>
      </xdr:nvSpPr>
      <xdr:spPr>
        <a:xfrm rot="10433276">
          <a:off x="1930828" y="4882835"/>
          <a:ext cx="860045" cy="601044"/>
        </a:xfrm>
        <a:prstGeom prst="arc">
          <a:avLst>
            <a:gd name="adj1" fmla="val 14127603"/>
            <a:gd name="adj2" fmla="val 56957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editAs="absolute">
    <xdr:from>
      <xdr:col>8</xdr:col>
      <xdr:colOff>523875</xdr:colOff>
      <xdr:row>19</xdr:row>
      <xdr:rowOff>161925</xdr:rowOff>
    </xdr:from>
    <xdr:to>
      <xdr:col>11</xdr:col>
      <xdr:colOff>219075</xdr:colOff>
      <xdr:row>21</xdr:row>
      <xdr:rowOff>92999</xdr:rowOff>
    </xdr:to>
    <xdr:sp macro="" textlink="">
      <xdr:nvSpPr>
        <xdr:cNvPr id="11" name="Tip Text 23" descr="The row field...">
          <a:extLst>
            <a:ext uri="{FF2B5EF4-FFF2-40B4-BE49-F238E27FC236}">
              <a16:creationId xmlns:a16="http://schemas.microsoft.com/office/drawing/2014/main" xmlns="" id="{4A3EB7F6-124C-45E8-B7C7-04225C78539B}"/>
            </a:ext>
          </a:extLst>
        </xdr:cNvPr>
        <xdr:cNvSpPr txBox="1"/>
      </xdr:nvSpPr>
      <xdr:spPr>
        <a:xfrm>
          <a:off x="5400675" y="3781425"/>
          <a:ext cx="1524000" cy="312074"/>
        </a:xfrm>
        <a:prstGeom prst="rect">
          <a:avLst/>
        </a:prstGeom>
        <a:solidFill>
          <a:schemeClr val="bg1"/>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b="0" noProof="0">
              <a:effectLst/>
              <a:latin typeface="Calibri" panose="020F0502020204030204" pitchFamily="34" charset="0"/>
              <a:ea typeface="Calibri" panose="020F0502020204030204" pitchFamily="34" charset="0"/>
              <a:cs typeface="Calibri" panose="020F0502020204030204" pitchFamily="34" charset="0"/>
            </a:rPr>
            <a:t>...and the column field provides a condition....</a:t>
          </a:r>
          <a:endParaRPr lang="en-US" sz="1100" noProof="0">
            <a:effectLst/>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absolute">
    <xdr:from>
      <xdr:col>8</xdr:col>
      <xdr:colOff>140128</xdr:colOff>
      <xdr:row>20</xdr:row>
      <xdr:rowOff>53659</xdr:rowOff>
    </xdr:from>
    <xdr:to>
      <xdr:col>9</xdr:col>
      <xdr:colOff>390573</xdr:colOff>
      <xdr:row>23</xdr:row>
      <xdr:rowOff>83203</xdr:rowOff>
    </xdr:to>
    <xdr:sp macro="" textlink="">
      <xdr:nvSpPr>
        <xdr:cNvPr id="12" name="shp_ArrowCurved">
          <a:extLst>
            <a:ext uri="{FF2B5EF4-FFF2-40B4-BE49-F238E27FC236}">
              <a16:creationId xmlns:a16="http://schemas.microsoft.com/office/drawing/2014/main" xmlns="" id="{EDE3E27F-3B26-4F77-9B4E-64E4239E78EB}"/>
            </a:ext>
          </a:extLst>
        </xdr:cNvPr>
        <xdr:cNvSpPr/>
      </xdr:nvSpPr>
      <xdr:spPr>
        <a:xfrm rot="11166724" flipH="1">
          <a:off x="5016928" y="3863659"/>
          <a:ext cx="860045" cy="601044"/>
        </a:xfrm>
        <a:prstGeom prst="arc">
          <a:avLst>
            <a:gd name="adj1" fmla="val 14127603"/>
            <a:gd name="adj2" fmla="val 56957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editAs="absolute">
    <xdr:from>
      <xdr:col>8</xdr:col>
      <xdr:colOff>523875</xdr:colOff>
      <xdr:row>25</xdr:row>
      <xdr:rowOff>95250</xdr:rowOff>
    </xdr:from>
    <xdr:to>
      <xdr:col>11</xdr:col>
      <xdr:colOff>219075</xdr:colOff>
      <xdr:row>27</xdr:row>
      <xdr:rowOff>26324</xdr:rowOff>
    </xdr:to>
    <xdr:sp macro="" textlink="">
      <xdr:nvSpPr>
        <xdr:cNvPr id="13" name="Tip Text 23" descr="The row field...">
          <a:extLst>
            <a:ext uri="{FF2B5EF4-FFF2-40B4-BE49-F238E27FC236}">
              <a16:creationId xmlns:a16="http://schemas.microsoft.com/office/drawing/2014/main" xmlns="" id="{94E12440-7807-45C0-910A-89ADEE196268}"/>
            </a:ext>
          </a:extLst>
        </xdr:cNvPr>
        <xdr:cNvSpPr txBox="1"/>
      </xdr:nvSpPr>
      <xdr:spPr>
        <a:xfrm>
          <a:off x="5400675" y="4857750"/>
          <a:ext cx="1524000" cy="312074"/>
        </a:xfrm>
        <a:prstGeom prst="rect">
          <a:avLst/>
        </a:prstGeom>
        <a:solidFill>
          <a:schemeClr val="bg1"/>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b="0" noProof="0">
              <a:effectLst/>
              <a:latin typeface="Calibri" panose="020F0502020204030204" pitchFamily="34" charset="0"/>
              <a:ea typeface="Calibri" panose="020F0502020204030204" pitchFamily="34" charset="0"/>
              <a:cs typeface="Calibri" panose="020F0502020204030204" pitchFamily="34" charset="0"/>
            </a:rPr>
            <a:t>...and the value field sums them up.</a:t>
          </a:r>
          <a:endParaRPr lang="en-US" sz="1100" noProof="0">
            <a:effectLst/>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absolute">
    <xdr:from>
      <xdr:col>8</xdr:col>
      <xdr:colOff>140128</xdr:colOff>
      <xdr:row>25</xdr:row>
      <xdr:rowOff>82234</xdr:rowOff>
    </xdr:from>
    <xdr:to>
      <xdr:col>9</xdr:col>
      <xdr:colOff>390573</xdr:colOff>
      <xdr:row>28</xdr:row>
      <xdr:rowOff>111778</xdr:rowOff>
    </xdr:to>
    <xdr:sp macro="" textlink="">
      <xdr:nvSpPr>
        <xdr:cNvPr id="14" name="shp_ArrowCurved">
          <a:extLst>
            <a:ext uri="{FF2B5EF4-FFF2-40B4-BE49-F238E27FC236}">
              <a16:creationId xmlns:a16="http://schemas.microsoft.com/office/drawing/2014/main" xmlns="" id="{7D1E3217-FFD7-4BA4-8B07-3E22AE244C0B}"/>
            </a:ext>
          </a:extLst>
        </xdr:cNvPr>
        <xdr:cNvSpPr/>
      </xdr:nvSpPr>
      <xdr:spPr>
        <a:xfrm rot="11166724" flipH="1">
          <a:off x="5016928" y="4844734"/>
          <a:ext cx="860045" cy="601044"/>
        </a:xfrm>
        <a:prstGeom prst="arc">
          <a:avLst>
            <a:gd name="adj1" fmla="val 14127603"/>
            <a:gd name="adj2" fmla="val 2075296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wsDr>
</file>

<file path=xl/drawings/drawing12.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8</xdr:col>
      <xdr:colOff>171068</xdr:colOff>
      <xdr:row>22</xdr:row>
      <xdr:rowOff>96012</xdr:rowOff>
    </xdr:to>
    <xdr:grpSp>
      <xdr:nvGrpSpPr>
        <xdr:cNvPr id="2" name="grp_WalkMe">
          <a:extLst>
            <a:ext uri="{FF2B5EF4-FFF2-40B4-BE49-F238E27FC236}">
              <a16:creationId xmlns:a16="http://schemas.microsoft.com/office/drawing/2014/main" xmlns="" id="{C702F9DE-9552-495E-813B-03D6C79E00DA}"/>
            </a:ext>
          </a:extLst>
        </xdr:cNvPr>
        <xdr:cNvGrpSpPr/>
      </xdr:nvGrpSpPr>
      <xdr:grpSpPr>
        <a:xfrm>
          <a:off x="0" y="0"/>
          <a:ext cx="7781543" cy="4287012"/>
          <a:chOff x="0" y="0"/>
          <a:chExt cx="7781543" cy="4439411"/>
        </a:xfrm>
      </xdr:grpSpPr>
      <xdr:sp macro="" textlink="">
        <xdr:nvSpPr>
          <xdr:cNvPr id="3" name="txt_WalkMeHeader" descr="One thing to be aware of: If a column field adds a lot of columns to a PivotTable, it will make it very wide. ">
            <a:extLst>
              <a:ext uri="{FF2B5EF4-FFF2-40B4-BE49-F238E27FC236}">
                <a16:creationId xmlns:a16="http://schemas.microsoft.com/office/drawing/2014/main" xmlns="" id="{10AC9A25-5EBB-4478-B2F9-AC38B9C082FC}"/>
              </a:ext>
            </a:extLst>
          </xdr:cNvPr>
          <xdr:cNvSpPr txBox="1"/>
        </xdr:nvSpPr>
        <xdr:spPr>
          <a:xfrm>
            <a:off x="0" y="0"/>
            <a:ext cx="7781543"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500" b="0" kern="1200" baseline="0">
                <a:solidFill>
                  <a:schemeClr val="dk1"/>
                </a:solidFill>
                <a:effectLst/>
                <a:latin typeface="Segoe UI Semibold" panose="020B0702040204020203" pitchFamily="34" charset="0"/>
                <a:ea typeface="+mn-ea"/>
                <a:cs typeface="Segoe UI Semibold" panose="020B0702040204020203" pitchFamily="34" charset="0"/>
              </a:rPr>
              <a:t>One thing to be aware of: </a:t>
            </a:r>
            <a:r>
              <a:rPr lang="en-US" sz="1500" b="0" kern="1200" baseline="0">
                <a:solidFill>
                  <a:schemeClr val="dk1"/>
                </a:solidFill>
                <a:effectLst/>
                <a:latin typeface="Segoe UI Light" panose="020B0502040204020203" pitchFamily="34" charset="0"/>
                <a:ea typeface="+mn-ea"/>
                <a:cs typeface="Segoe UI Light" panose="020B0502040204020203" pitchFamily="34" charset="0"/>
              </a:rPr>
              <a:t>If a column field adds a lot of columns to a PivotTable, it will make it very wide. </a:t>
            </a:r>
            <a:endParaRPr lang="en-US" sz="1500">
              <a:effectLst/>
              <a:latin typeface="Segoe UI Light" panose="020B0502040204020203" pitchFamily="34" charset="0"/>
              <a:cs typeface="Segoe UI Light" panose="020B0502040204020203" pitchFamily="34" charset="0"/>
            </a:endParaRPr>
          </a:p>
        </xdr:txBody>
      </xdr:sp>
      <xdr:sp macro="" textlink="">
        <xdr:nvSpPr>
          <xdr:cNvPr id="4" name="txt_WalkMeFooter">
            <a:extLst>
              <a:ext uri="{FF2B5EF4-FFF2-40B4-BE49-F238E27FC236}">
                <a16:creationId xmlns:a16="http://schemas.microsoft.com/office/drawing/2014/main" xmlns="" id="{CC39DF34-4194-4987-80FA-F9EF66960C17}"/>
              </a:ext>
            </a:extLst>
          </xdr:cNvPr>
          <xdr:cNvSpPr txBox="1"/>
        </xdr:nvSpPr>
        <xdr:spPr>
          <a:xfrm>
            <a:off x="0" y="3619500"/>
            <a:ext cx="7781543" cy="66751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
              <a:ea typeface="Segoe UI" pitchFamily="34" charset="0"/>
              <a:cs typeface="Segoe UI Light" panose="020B0502040204020203" pitchFamily="34" charset="0"/>
            </a:endParaRPr>
          </a:p>
        </xdr:txBody>
      </xdr:sp>
      <xdr:sp macro="" textlink="">
        <xdr:nvSpPr>
          <xdr:cNvPr id="5" name="txt_WalkMeNext" descr="Next step button, hyperlinked to next sheet">
            <a:hlinkClick xmlns:r="http://schemas.openxmlformats.org/officeDocument/2006/relationships" r:id="rId1" tooltip="Click here to go to the next sheet"/>
            <a:extLst>
              <a:ext uri="{FF2B5EF4-FFF2-40B4-BE49-F238E27FC236}">
                <a16:creationId xmlns:a16="http://schemas.microsoft.com/office/drawing/2014/main" xmlns="" id="{63269EEA-08E6-4328-8B61-C833249BB9FD}"/>
              </a:ext>
            </a:extLst>
          </xdr:cNvPr>
          <xdr:cNvSpPr/>
        </xdr:nvSpPr>
        <xdr:spPr>
          <a:xfrm>
            <a:off x="6261100" y="3774948"/>
            <a:ext cx="1207008" cy="3566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sp macro="" textlink="">
        <xdr:nvSpPr>
          <xdr:cNvPr id="6" name="txt_WalkMePrevious" descr="Previous step button, hyperlinked to previous sheet">
            <a:hlinkClick xmlns:r="http://schemas.openxmlformats.org/officeDocument/2006/relationships" r:id="rId2" tooltip="Click here to go back to the previous sheet"/>
            <a:extLst>
              <a:ext uri="{FF2B5EF4-FFF2-40B4-BE49-F238E27FC236}">
                <a16:creationId xmlns:a16="http://schemas.microsoft.com/office/drawing/2014/main" xmlns="" id="{B251F75F-2568-4051-B479-9B90347C3ECD}"/>
              </a:ext>
            </a:extLst>
          </xdr:cNvPr>
          <xdr:cNvSpPr/>
        </xdr:nvSpPr>
        <xdr:spPr>
          <a:xfrm flipH="1">
            <a:off x="304800" y="3774948"/>
            <a:ext cx="1207008" cy="3566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sp macro="" textlink="">
        <xdr:nvSpPr>
          <xdr:cNvPr id="7" name="txt_WalkMeFeedback" descr="Feedback button, hyperlinked to web form">
            <a:hlinkClick xmlns:r="http://schemas.openxmlformats.org/officeDocument/2006/relationships" r:id="rId3" tooltip="Click to give us feedback on this tutorial"/>
            <a:extLst>
              <a:ext uri="{FF2B5EF4-FFF2-40B4-BE49-F238E27FC236}">
                <a16:creationId xmlns:a16="http://schemas.microsoft.com/office/drawing/2014/main" xmlns="" id="{E8A26975-0FC9-472C-A764-B7A02A0A78F6}"/>
              </a:ext>
            </a:extLst>
          </xdr:cNvPr>
          <xdr:cNvSpPr/>
        </xdr:nvSpPr>
        <xdr:spPr>
          <a:xfrm>
            <a:off x="3291839" y="4094988"/>
            <a:ext cx="1197864" cy="192024"/>
          </a:xfrm>
          <a:prstGeom prst="rect">
            <a:avLst/>
          </a:prstGeom>
          <a:solidFill>
            <a:schemeClr val="bg1">
              <a:lumMod val="85000"/>
            </a:schemeClr>
          </a:solidFill>
          <a:ln>
            <a:no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100" u="sng">
                <a:solidFill>
                  <a:sysClr val="windowText" lastClr="000000"/>
                </a:solidFill>
                <a:latin typeface="Segoe UI" panose="020B0502040204020203" pitchFamily="34" charset="0"/>
                <a:ea typeface="Segoe UI" pitchFamily="34" charset="0"/>
                <a:cs typeface="Segoe UI" pitchFamily="34" charset="0"/>
              </a:rPr>
              <a:t>Feedback</a:t>
            </a:r>
          </a:p>
        </xdr:txBody>
      </xdr:sp>
    </xdr:grpSp>
    <xdr:clientData/>
  </xdr:twoCellAnchor>
  <xdr:twoCellAnchor editAs="absolute">
    <xdr:from>
      <xdr:col>0</xdr:col>
      <xdr:colOff>-17548</xdr:colOff>
      <xdr:row>2</xdr:row>
      <xdr:rowOff>61886</xdr:rowOff>
    </xdr:from>
    <xdr:to>
      <xdr:col>0</xdr:col>
      <xdr:colOff>-17548</xdr:colOff>
      <xdr:row>2</xdr:row>
      <xdr:rowOff>61892</xdr:rowOff>
    </xdr:to>
    <xdr:grpSp>
      <xdr:nvGrpSpPr>
        <xdr:cNvPr id="8" name="Group 7">
          <a:extLst>
            <a:ext uri="{FF2B5EF4-FFF2-40B4-BE49-F238E27FC236}">
              <a16:creationId xmlns:a16="http://schemas.microsoft.com/office/drawing/2014/main" xmlns="" id="{CAECE02D-00AE-4ADB-BD59-7767CA66B7F3}"/>
            </a:ext>
          </a:extLst>
        </xdr:cNvPr>
        <xdr:cNvGrpSpPr/>
      </xdr:nvGrpSpPr>
      <xdr:grpSpPr>
        <a:xfrm>
          <a:off x="-17548" y="442886"/>
          <a:ext cx="0" cy="6"/>
          <a:chOff x="-15643" y="439076"/>
          <a:chExt cx="0" cy="6"/>
        </a:xfrm>
      </xdr:grpSpPr>
      <xdr:sp macro="" textlink="">
        <xdr:nvSpPr>
          <xdr:cNvPr id="9" name="txt_WalkMeCallout1">
            <a:extLst>
              <a:ext uri="{FF2B5EF4-FFF2-40B4-BE49-F238E27FC236}">
                <a16:creationId xmlns:a16="http://schemas.microsoft.com/office/drawing/2014/main" xmlns="" id="{2BFFB426-F49C-45E0-87C4-F9CF5281FA3A}"/>
              </a:ext>
            </a:extLst>
          </xdr:cNvPr>
          <xdr:cNvSpPr txBox="1"/>
        </xdr:nvSpPr>
        <xdr:spPr>
          <a:xfrm>
            <a:off x="-17548" y="442886"/>
            <a:ext cx="0" cy="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endParaRPr lang="en-US" sz="1100" noProof="0">
              <a:effectLst/>
              <a:latin typeface="Calibri Light (Headings)"/>
              <a:ea typeface="Calibri" panose="020F0502020204030204" pitchFamily="34" charset="0"/>
              <a:cs typeface="Times New Roman" panose="02020603050405020304" pitchFamily="18" charset="0"/>
            </a:endParaRPr>
          </a:p>
        </xdr:txBody>
      </xdr:sp>
      <xdr:sp macro="" textlink="">
        <xdr:nvSpPr>
          <xdr:cNvPr id="10" name="shp_ArrowCurved">
            <a:extLst>
              <a:ext uri="{FF2B5EF4-FFF2-40B4-BE49-F238E27FC236}">
                <a16:creationId xmlns:a16="http://schemas.microsoft.com/office/drawing/2014/main" xmlns="" id="{296764EA-EA82-49F7-9005-D54B141D3D3E}"/>
              </a:ext>
            </a:extLst>
          </xdr:cNvPr>
          <xdr:cNvSpPr/>
        </xdr:nvSpPr>
        <xdr:spPr>
          <a:xfrm rot="16841243">
            <a:off x="-17548" y="442892"/>
            <a:ext cx="0" cy="0"/>
          </a:xfrm>
          <a:prstGeom prst="arc">
            <a:avLst>
              <a:gd name="adj1" fmla="val 10800000"/>
              <a:gd name="adj2" fmla="val 0"/>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latin typeface=""/>
            </a:endParaRPr>
          </a:p>
        </xdr:txBody>
      </xdr:sp>
    </xdr:grpSp>
    <xdr:clientData/>
  </xdr:twoCellAnchor>
  <xdr:twoCellAnchor editAs="absolute">
    <xdr:from>
      <xdr:col>3</xdr:col>
      <xdr:colOff>59055</xdr:colOff>
      <xdr:row>5</xdr:row>
      <xdr:rowOff>57159</xdr:rowOff>
    </xdr:from>
    <xdr:to>
      <xdr:col>7</xdr:col>
      <xdr:colOff>695325</xdr:colOff>
      <xdr:row>10</xdr:row>
      <xdr:rowOff>58174</xdr:rowOff>
    </xdr:to>
    <xdr:grpSp>
      <xdr:nvGrpSpPr>
        <xdr:cNvPr id="11" name="Group 10">
          <a:extLst>
            <a:ext uri="{FF2B5EF4-FFF2-40B4-BE49-F238E27FC236}">
              <a16:creationId xmlns:a16="http://schemas.microsoft.com/office/drawing/2014/main" xmlns="" id="{E003AB24-7046-45FE-A81A-3E3F2A8CF4F0}"/>
            </a:ext>
          </a:extLst>
        </xdr:cNvPr>
        <xdr:cNvGrpSpPr/>
      </xdr:nvGrpSpPr>
      <xdr:grpSpPr>
        <a:xfrm>
          <a:off x="2335530" y="1009659"/>
          <a:ext cx="4903470" cy="953515"/>
          <a:chOff x="2335530" y="1009659"/>
          <a:chExt cx="4903470" cy="953515"/>
        </a:xfrm>
      </xdr:grpSpPr>
      <xdr:sp macro="" textlink="">
        <xdr:nvSpPr>
          <xdr:cNvPr id="12" name="txt_WalkMeCallout1" descr="PivotTable">
            <a:extLst>
              <a:ext uri="{FF2B5EF4-FFF2-40B4-BE49-F238E27FC236}">
                <a16:creationId xmlns:a16="http://schemas.microsoft.com/office/drawing/2014/main" xmlns="" id="{2F2A68CD-C95D-4AB0-9E31-F05A5F3CF08C}"/>
              </a:ext>
            </a:extLst>
          </xdr:cNvPr>
          <xdr:cNvSpPr txBox="1"/>
        </xdr:nvSpPr>
        <xdr:spPr>
          <a:xfrm>
            <a:off x="2516086" y="1009659"/>
            <a:ext cx="4722914" cy="519202"/>
          </a:xfrm>
          <a:prstGeom prst="rect">
            <a:avLst/>
          </a:prstGeom>
          <a:no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Calibri" panose="020F0502020204030204" pitchFamily="34" charset="0"/>
                <a:ea typeface="Calibri" panose="020F0502020204030204" pitchFamily="34" charset="0"/>
                <a:cs typeface="Calibri" panose="020F0502020204030204" pitchFamily="34" charset="0"/>
              </a:rPr>
              <a:t>In this example, the column field</a:t>
            </a:r>
            <a:r>
              <a:rPr lang="en-US" sz="1100" baseline="0" noProof="0">
                <a:effectLst/>
                <a:latin typeface="Calibri" panose="020F0502020204030204" pitchFamily="34" charset="0"/>
                <a:ea typeface="Calibri" panose="020F0502020204030204" pitchFamily="34" charset="0"/>
                <a:cs typeface="Calibri" panose="020F0502020204030204" pitchFamily="34" charset="0"/>
              </a:rPr>
              <a:t> added 20 new columns. That's a lot of columns! This will cause people to scroll a lot...</a:t>
            </a:r>
            <a:endParaRPr lang="en-US" sz="1100" noProof="0">
              <a:effectLst/>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13" name="shp_ArrowCurved" descr="Arrow">
            <a:extLst>
              <a:ext uri="{FF2B5EF4-FFF2-40B4-BE49-F238E27FC236}">
                <a16:creationId xmlns:a16="http://schemas.microsoft.com/office/drawing/2014/main" xmlns="" id="{A68480EB-355B-4FDE-98F2-64192F138E55}"/>
              </a:ext>
            </a:extLst>
          </xdr:cNvPr>
          <xdr:cNvSpPr/>
        </xdr:nvSpPr>
        <xdr:spPr>
          <a:xfrm rot="16841243">
            <a:off x="2352906" y="1245970"/>
            <a:ext cx="699828" cy="734580"/>
          </a:xfrm>
          <a:prstGeom prst="arc">
            <a:avLst>
              <a:gd name="adj1" fmla="val 15011426"/>
              <a:gd name="adj2" fmla="val 20877560"/>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fLocksWithSheet="0"/>
  </xdr:twoCellAnchor>
</xdr:wsDr>
</file>

<file path=xl/drawings/drawing13.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7</xdr:col>
      <xdr:colOff>504443</xdr:colOff>
      <xdr:row>36</xdr:row>
      <xdr:rowOff>124593</xdr:rowOff>
    </xdr:to>
    <xdr:grpSp>
      <xdr:nvGrpSpPr>
        <xdr:cNvPr id="2" name="grp_WalkMe">
          <a:extLst>
            <a:ext uri="{FF2B5EF4-FFF2-40B4-BE49-F238E27FC236}">
              <a16:creationId xmlns:a16="http://schemas.microsoft.com/office/drawing/2014/main" xmlns="" id="{7CE24F74-6F8C-4FF7-BCB9-2AEDE92648E1}"/>
            </a:ext>
          </a:extLst>
        </xdr:cNvPr>
        <xdr:cNvGrpSpPr/>
      </xdr:nvGrpSpPr>
      <xdr:grpSpPr>
        <a:xfrm>
          <a:off x="0" y="0"/>
          <a:ext cx="7781543" cy="6982593"/>
          <a:chOff x="0" y="0"/>
          <a:chExt cx="7781543" cy="7230820"/>
        </a:xfrm>
      </xdr:grpSpPr>
      <xdr:sp macro="" textlink="">
        <xdr:nvSpPr>
          <xdr:cNvPr id="3" name="txt_WalkMeHeader" descr="But here's an alternative to that: You can use a second row field instead. A second row field will appear indented under the first row field.">
            <a:extLst>
              <a:ext uri="{FF2B5EF4-FFF2-40B4-BE49-F238E27FC236}">
                <a16:creationId xmlns:a16="http://schemas.microsoft.com/office/drawing/2014/main" xmlns="" id="{349B5B71-D13F-4878-A006-A1ECE53E5A9B}"/>
              </a:ext>
            </a:extLst>
          </xdr:cNvPr>
          <xdr:cNvSpPr txBox="1"/>
        </xdr:nvSpPr>
        <xdr:spPr>
          <a:xfrm>
            <a:off x="0" y="0"/>
            <a:ext cx="7781543"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500" b="0" kern="1200" baseline="0">
                <a:solidFill>
                  <a:schemeClr val="dk1"/>
                </a:solidFill>
                <a:effectLst/>
                <a:latin typeface="Segoe UI Semibold" panose="020B0702040204020203" pitchFamily="34" charset="0"/>
                <a:ea typeface="+mn-ea"/>
                <a:cs typeface="Segoe UI Semibold" panose="020B0702040204020203" pitchFamily="34" charset="0"/>
              </a:rPr>
              <a:t>But here's an alternative to that: </a:t>
            </a:r>
            <a:r>
              <a:rPr lang="en-US" sz="1500" b="0" kern="1200" baseline="0">
                <a:solidFill>
                  <a:schemeClr val="dk1"/>
                </a:solidFill>
                <a:effectLst/>
                <a:latin typeface="Segoe UI Light" panose="020B0502040204020203" pitchFamily="34" charset="0"/>
                <a:ea typeface="+mn-ea"/>
                <a:cs typeface="Segoe UI Light" panose="020B0502040204020203" pitchFamily="34" charset="0"/>
              </a:rPr>
              <a:t>You can use a </a:t>
            </a:r>
            <a:r>
              <a:rPr lang="en-US" sz="1500" b="0" i="1" kern="1200" baseline="0">
                <a:solidFill>
                  <a:schemeClr val="dk1"/>
                </a:solidFill>
                <a:effectLst/>
                <a:latin typeface="Segoe UI Light" panose="020B0502040204020203" pitchFamily="34" charset="0"/>
                <a:ea typeface="+mn-ea"/>
                <a:cs typeface="Segoe UI Light" panose="020B0502040204020203" pitchFamily="34" charset="0"/>
              </a:rPr>
              <a:t>second row field </a:t>
            </a:r>
            <a:r>
              <a:rPr lang="en-US" sz="1500" b="0" kern="1200" baseline="0">
                <a:solidFill>
                  <a:schemeClr val="dk1"/>
                </a:solidFill>
                <a:effectLst/>
                <a:latin typeface="Segoe UI Light" panose="020B0502040204020203" pitchFamily="34" charset="0"/>
                <a:ea typeface="+mn-ea"/>
                <a:cs typeface="Segoe UI Light" panose="020B0502040204020203" pitchFamily="34" charset="0"/>
              </a:rPr>
              <a:t>instead. A second row field will appear indented under the first row field.</a:t>
            </a:r>
            <a:endParaRPr lang="en-US" sz="1500" i="0">
              <a:effectLst/>
              <a:latin typeface="Segoe UI Light" panose="020B0502040204020203" pitchFamily="34" charset="0"/>
              <a:cs typeface="Segoe UI Light" panose="020B0502040204020203" pitchFamily="34" charset="0"/>
            </a:endParaRPr>
          </a:p>
        </xdr:txBody>
      </xdr:sp>
      <xdr:sp macro="" textlink="">
        <xdr:nvSpPr>
          <xdr:cNvPr id="4" name="txt_WalkMeFooter">
            <a:extLst>
              <a:ext uri="{FF2B5EF4-FFF2-40B4-BE49-F238E27FC236}">
                <a16:creationId xmlns:a16="http://schemas.microsoft.com/office/drawing/2014/main" xmlns="" id="{222D3845-974B-4286-AC7C-6D78C77637AF}"/>
              </a:ext>
            </a:extLst>
          </xdr:cNvPr>
          <xdr:cNvSpPr txBox="1"/>
        </xdr:nvSpPr>
        <xdr:spPr>
          <a:xfrm>
            <a:off x="0" y="6539579"/>
            <a:ext cx="7781543" cy="691241"/>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
              <a:ea typeface="Segoe UI" pitchFamily="34" charset="0"/>
              <a:cs typeface="Segoe UI Light" panose="020B0502040204020203" pitchFamily="34" charset="0"/>
            </a:endParaRPr>
          </a:p>
        </xdr:txBody>
      </xdr:sp>
      <xdr:sp macro="" textlink="">
        <xdr:nvSpPr>
          <xdr:cNvPr id="5" name="txt_WalkMeNext" descr="Next step button, hyperlinked to next sheet">
            <a:hlinkClick xmlns:r="http://schemas.openxmlformats.org/officeDocument/2006/relationships" r:id="rId1" tooltip="Click here to go to the next sheet"/>
            <a:extLst>
              <a:ext uri="{FF2B5EF4-FFF2-40B4-BE49-F238E27FC236}">
                <a16:creationId xmlns:a16="http://schemas.microsoft.com/office/drawing/2014/main" xmlns="" id="{DE5045C0-0C3D-400E-942C-F4C3D819542D}"/>
              </a:ext>
            </a:extLst>
          </xdr:cNvPr>
          <xdr:cNvSpPr/>
        </xdr:nvSpPr>
        <xdr:spPr>
          <a:xfrm>
            <a:off x="6261100" y="6706891"/>
            <a:ext cx="1207007" cy="3566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sp macro="" textlink="">
        <xdr:nvSpPr>
          <xdr:cNvPr id="6" name="txt_WalkMePrevious" descr="Previous step button, hyperlinked to previous sheet">
            <a:hlinkClick xmlns:r="http://schemas.openxmlformats.org/officeDocument/2006/relationships" r:id="rId2" tooltip="Click here to go back to the previous sheet"/>
            <a:extLst>
              <a:ext uri="{FF2B5EF4-FFF2-40B4-BE49-F238E27FC236}">
                <a16:creationId xmlns:a16="http://schemas.microsoft.com/office/drawing/2014/main" xmlns="" id="{B666F275-2EF6-4EDF-B518-CB6FA09A8B60}"/>
              </a:ext>
            </a:extLst>
          </xdr:cNvPr>
          <xdr:cNvSpPr/>
        </xdr:nvSpPr>
        <xdr:spPr>
          <a:xfrm flipH="1">
            <a:off x="304800" y="6706891"/>
            <a:ext cx="1207007" cy="3566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sp macro="" textlink="">
        <xdr:nvSpPr>
          <xdr:cNvPr id="7" name="txt_WalkMeFeedback" descr="Feedback button, hyperlinked to web form">
            <a:hlinkClick xmlns:r="http://schemas.openxmlformats.org/officeDocument/2006/relationships" r:id="rId3" tooltip="Click to give us feedback on this tutorial"/>
            <a:extLst>
              <a:ext uri="{FF2B5EF4-FFF2-40B4-BE49-F238E27FC236}">
                <a16:creationId xmlns:a16="http://schemas.microsoft.com/office/drawing/2014/main" xmlns="" id="{5B079A2B-1A7E-457F-84D5-CAEA0D5EB67F}"/>
              </a:ext>
            </a:extLst>
          </xdr:cNvPr>
          <xdr:cNvSpPr/>
        </xdr:nvSpPr>
        <xdr:spPr>
          <a:xfrm>
            <a:off x="3291839" y="7038796"/>
            <a:ext cx="1197864" cy="192024"/>
          </a:xfrm>
          <a:prstGeom prst="rect">
            <a:avLst/>
          </a:prstGeom>
          <a:solidFill>
            <a:schemeClr val="bg1">
              <a:lumMod val="85000"/>
            </a:schemeClr>
          </a:solidFill>
          <a:ln>
            <a:no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100" u="sng">
                <a:solidFill>
                  <a:sysClr val="windowText" lastClr="000000"/>
                </a:solidFill>
                <a:latin typeface="Segoe UI" panose="020B0502040204020203" pitchFamily="34" charset="0"/>
                <a:ea typeface="Segoe UI" pitchFamily="34" charset="0"/>
                <a:cs typeface="Segoe UI" pitchFamily="34" charset="0"/>
              </a:rPr>
              <a:t>Feedback</a:t>
            </a:r>
          </a:p>
        </xdr:txBody>
      </xdr:sp>
    </xdr:grpSp>
    <xdr:clientData/>
  </xdr:twoCellAnchor>
  <xdr:twoCellAnchor editAs="absolute">
    <xdr:from>
      <xdr:col>1</xdr:col>
      <xdr:colOff>57149</xdr:colOff>
      <xdr:row>6</xdr:row>
      <xdr:rowOff>167641</xdr:rowOff>
    </xdr:from>
    <xdr:to>
      <xdr:col>2</xdr:col>
      <xdr:colOff>807720</xdr:colOff>
      <xdr:row>8</xdr:row>
      <xdr:rowOff>79665</xdr:rowOff>
    </xdr:to>
    <xdr:sp macro="" textlink="">
      <xdr:nvSpPr>
        <xdr:cNvPr id="9" name="Tip Text 23" descr="Tip text &quot;A row field breaks down...&quot;&#10;">
          <a:extLst>
            <a:ext uri="{FF2B5EF4-FFF2-40B4-BE49-F238E27FC236}">
              <a16:creationId xmlns:a16="http://schemas.microsoft.com/office/drawing/2014/main" xmlns="" id="{B7089344-C748-4648-A74B-62BE25D438A2}"/>
            </a:ext>
          </a:extLst>
        </xdr:cNvPr>
        <xdr:cNvSpPr txBox="1"/>
      </xdr:nvSpPr>
      <xdr:spPr>
        <a:xfrm>
          <a:off x="666749" y="1310641"/>
          <a:ext cx="1360171" cy="293024"/>
        </a:xfrm>
        <a:prstGeom prst="rect">
          <a:avLst/>
        </a:prstGeom>
        <a:noFill/>
        <a:ln w="9525">
          <a:noFill/>
          <a:miter lim="800000"/>
          <a:headEnd/>
          <a:tailEnd/>
        </a:ln>
      </xdr:spPr>
      <xdr:txBody>
        <a:bodyPr rot="0" vert="horz" wrap="square" lIns="91440" tIns="45720" rIns="91440" bIns="45720" anchor="ctr" anchorCtr="0">
          <a:noAutofit/>
        </a:bodyPr>
        <a:lstStyle/>
        <a:p>
          <a:pPr algn="ctr" eaLnBrk="1" fontAlgn="auto" latinLnBrk="0" hangingPunct="1"/>
          <a:endParaRPr lang="en-US" sz="1100" b="0" i="0" baseline="0">
            <a:effectLst/>
            <a:latin typeface="Calibri" panose="020F0502020204030204" pitchFamily="34" charset="0"/>
            <a:ea typeface="+mn-ea"/>
            <a:cs typeface="Calibri" panose="020F0502020204030204" pitchFamily="34" charset="0"/>
          </a:endParaRPr>
        </a:p>
        <a:p>
          <a:pPr algn="r" eaLnBrk="1" fontAlgn="auto" latinLnBrk="0" hangingPunct="1"/>
          <a:r>
            <a:rPr lang="en-US" sz="1100" b="0" i="0" baseline="0">
              <a:effectLst/>
              <a:latin typeface="Calibri" panose="020F0502020204030204" pitchFamily="34" charset="0"/>
              <a:ea typeface="+mn-ea"/>
              <a:cs typeface="Calibri" panose="020F0502020204030204" pitchFamily="34" charset="0"/>
            </a:rPr>
            <a:t>First row field</a:t>
          </a:r>
          <a:endParaRPr lang="sq-AL" sz="1100">
            <a:effectLst/>
            <a:latin typeface="Calibri" panose="020F0502020204030204" pitchFamily="34" charset="0"/>
            <a:cs typeface="Calibri" panose="020F0502020204030204" pitchFamily="34" charset="0"/>
          </a:endParaRPr>
        </a:p>
      </xdr:txBody>
    </xdr:sp>
    <xdr:clientData/>
  </xdr:twoCellAnchor>
  <xdr:twoCellAnchor editAs="absolute">
    <xdr:from>
      <xdr:col>1</xdr:col>
      <xdr:colOff>441776</xdr:colOff>
      <xdr:row>8</xdr:row>
      <xdr:rowOff>134251</xdr:rowOff>
    </xdr:from>
    <xdr:to>
      <xdr:col>3</xdr:col>
      <xdr:colOff>1163858</xdr:colOff>
      <xdr:row>15</xdr:row>
      <xdr:rowOff>134802</xdr:rowOff>
    </xdr:to>
    <xdr:sp macro="" textlink="">
      <xdr:nvSpPr>
        <xdr:cNvPr id="10" name="shp_ArrowCurved">
          <a:extLst>
            <a:ext uri="{FF2B5EF4-FFF2-40B4-BE49-F238E27FC236}">
              <a16:creationId xmlns:a16="http://schemas.microsoft.com/office/drawing/2014/main" xmlns="" id="{584904F7-B0B4-4570-83D8-C3F404A70E3A}"/>
            </a:ext>
          </a:extLst>
        </xdr:cNvPr>
        <xdr:cNvSpPr/>
      </xdr:nvSpPr>
      <xdr:spPr>
        <a:xfrm rot="6645800" flipV="1">
          <a:off x="1693129" y="1016498"/>
          <a:ext cx="1334051" cy="2617557"/>
        </a:xfrm>
        <a:prstGeom prst="arc">
          <a:avLst>
            <a:gd name="adj1" fmla="val 11796840"/>
            <a:gd name="adj2" fmla="val 13141628"/>
          </a:avLst>
        </a:prstGeom>
        <a:ln w="19050">
          <a:headEnd type="arrow" w="med" len="med"/>
          <a:tailEnd type="none" w="med" len="med"/>
        </a:ln>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lgn="l"/>
          <a:endParaRPr lang="en-US" sz="1100">
            <a:solidFill>
              <a:schemeClr val="tx1"/>
            </a:solidFill>
            <a:latin typeface="+mn-lt"/>
            <a:ea typeface="+mn-ea"/>
            <a:cs typeface="+mn-cs"/>
          </a:endParaRPr>
        </a:p>
      </xdr:txBody>
    </xdr:sp>
    <xdr:clientData/>
  </xdr:twoCellAnchor>
  <xdr:twoCellAnchor editAs="absolute">
    <xdr:from>
      <xdr:col>0</xdr:col>
      <xdr:colOff>492008</xdr:colOff>
      <xdr:row>9</xdr:row>
      <xdr:rowOff>104777</xdr:rowOff>
    </xdr:from>
    <xdr:to>
      <xdr:col>2</xdr:col>
      <xdr:colOff>807720</xdr:colOff>
      <xdr:row>11</xdr:row>
      <xdr:rowOff>35851</xdr:rowOff>
    </xdr:to>
    <xdr:sp macro="" textlink="">
      <xdr:nvSpPr>
        <xdr:cNvPr id="11" name="Tip Text 24" descr="Second row field ">
          <a:extLst>
            <a:ext uri="{FF2B5EF4-FFF2-40B4-BE49-F238E27FC236}">
              <a16:creationId xmlns:a16="http://schemas.microsoft.com/office/drawing/2014/main" xmlns="" id="{6130BF6A-5E1E-41DE-B923-4A42D8188AAD}"/>
            </a:ext>
          </a:extLst>
        </xdr:cNvPr>
        <xdr:cNvSpPr txBox="1"/>
      </xdr:nvSpPr>
      <xdr:spPr>
        <a:xfrm>
          <a:off x="492008" y="1819277"/>
          <a:ext cx="1534912" cy="312074"/>
        </a:xfrm>
        <a:prstGeom prst="rect">
          <a:avLst/>
        </a:prstGeom>
        <a:noFill/>
        <a:ln w="9525">
          <a:noFill/>
          <a:miter lim="800000"/>
          <a:headEnd/>
          <a:tailEnd/>
        </a:ln>
      </xdr:spPr>
      <xdr:txBody>
        <a:bodyPr rot="0" vert="horz" wrap="square" lIns="91440" tIns="45720" rIns="91440" bIns="45720" anchor="ctr" anchorCtr="0">
          <a:noAutofit/>
        </a:bodyPr>
        <a:lstStyle/>
        <a:p>
          <a:pPr algn="r" eaLnBrk="1" fontAlgn="auto" latinLnBrk="0" hangingPunct="1"/>
          <a:r>
            <a:rPr lang="en-US" sz="1100" b="0" i="0" baseline="0">
              <a:effectLst/>
              <a:latin typeface="Calibri" panose="020F0502020204030204" pitchFamily="34" charset="0"/>
              <a:ea typeface="+mn-ea"/>
              <a:cs typeface="Calibri" panose="020F0502020204030204" pitchFamily="34" charset="0"/>
            </a:rPr>
            <a:t>Second row field </a:t>
          </a:r>
          <a:endParaRPr lang="sq-AL" sz="1100">
            <a:effectLst/>
            <a:latin typeface="Calibri" panose="020F0502020204030204" pitchFamily="34" charset="0"/>
            <a:cs typeface="Calibri" panose="020F0502020204030204" pitchFamily="34" charset="0"/>
          </a:endParaRPr>
        </a:p>
      </xdr:txBody>
    </xdr:sp>
    <xdr:clientData/>
  </xdr:twoCellAnchor>
  <xdr:twoCellAnchor editAs="absolute">
    <xdr:from>
      <xdr:col>1</xdr:col>
      <xdr:colOff>173355</xdr:colOff>
      <xdr:row>14</xdr:row>
      <xdr:rowOff>169545</xdr:rowOff>
    </xdr:from>
    <xdr:to>
      <xdr:col>2</xdr:col>
      <xdr:colOff>1160146</xdr:colOff>
      <xdr:row>18</xdr:row>
      <xdr:rowOff>137159</xdr:rowOff>
    </xdr:to>
    <xdr:sp macro="" textlink="">
      <xdr:nvSpPr>
        <xdr:cNvPr id="12" name="Tip Text 23" descr="Tip text &quot;A row field breaks down...&quot;&#10;">
          <a:extLst>
            <a:ext uri="{FF2B5EF4-FFF2-40B4-BE49-F238E27FC236}">
              <a16:creationId xmlns:a16="http://schemas.microsoft.com/office/drawing/2014/main" xmlns="" id="{FF91A8B1-3C72-4C3D-8178-B5AEA5CFE40B}"/>
            </a:ext>
          </a:extLst>
        </xdr:cNvPr>
        <xdr:cNvSpPr txBox="1"/>
      </xdr:nvSpPr>
      <xdr:spPr>
        <a:xfrm>
          <a:off x="782955" y="2836545"/>
          <a:ext cx="1596391" cy="729614"/>
        </a:xfrm>
        <a:prstGeom prst="rect">
          <a:avLst/>
        </a:prstGeom>
        <a:noFill/>
        <a:ln w="9525">
          <a:noFill/>
          <a:miter lim="800000"/>
          <a:headEnd/>
          <a:tailEnd/>
        </a:ln>
      </xdr:spPr>
      <xdr:txBody>
        <a:bodyPr rot="0" vert="horz" wrap="square" lIns="91440" tIns="45720" rIns="91440" bIns="45720" anchor="ctr" anchorCtr="0">
          <a:noAutofit/>
        </a:bodyPr>
        <a:lstStyle/>
        <a:p>
          <a:pPr algn="r" eaLnBrk="1" fontAlgn="auto" latinLnBrk="0" hangingPunct="1"/>
          <a:endParaRPr lang="sq-AL" i="0">
            <a:effectLst/>
          </a:endParaRPr>
        </a:p>
      </xdr:txBody>
    </xdr:sp>
    <xdr:clientData/>
  </xdr:twoCellAnchor>
  <xdr:twoCellAnchor editAs="absolute">
    <xdr:from>
      <xdr:col>2</xdr:col>
      <xdr:colOff>914400</xdr:colOff>
      <xdr:row>9</xdr:row>
      <xdr:rowOff>59055</xdr:rowOff>
    </xdr:from>
    <xdr:to>
      <xdr:col>2</xdr:col>
      <xdr:colOff>1190625</xdr:colOff>
      <xdr:row>11</xdr:row>
      <xdr:rowOff>133350</xdr:rowOff>
    </xdr:to>
    <xdr:sp macro="" textlink="">
      <xdr:nvSpPr>
        <xdr:cNvPr id="13" name="shp_BraceBottom">
          <a:extLst>
            <a:ext uri="{FF2B5EF4-FFF2-40B4-BE49-F238E27FC236}">
              <a16:creationId xmlns:a16="http://schemas.microsoft.com/office/drawing/2014/main" xmlns="" id="{9115AEF5-EC57-43B8-B338-3EECF2742EC4}"/>
            </a:ext>
          </a:extLst>
        </xdr:cNvPr>
        <xdr:cNvSpPr/>
      </xdr:nvSpPr>
      <xdr:spPr>
        <a:xfrm>
          <a:off x="2133600" y="1773555"/>
          <a:ext cx="276225" cy="455295"/>
        </a:xfrm>
        <a:prstGeom prst="leftBrace">
          <a:avLst>
            <a:gd name="adj1" fmla="val 34667"/>
            <a:gd name="adj2" fmla="val 45646"/>
          </a:avLst>
        </a:prstGeom>
        <a:ln w="19050">
          <a:prstDash val="sysDash"/>
        </a:ln>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clientData/>
  </xdr:twoCellAnchor>
  <xdr:twoCellAnchor editAs="absolute">
    <xdr:from>
      <xdr:col>5</xdr:col>
      <xdr:colOff>769620</xdr:colOff>
      <xdr:row>9</xdr:row>
      <xdr:rowOff>178372</xdr:rowOff>
    </xdr:from>
    <xdr:to>
      <xdr:col>7</xdr:col>
      <xdr:colOff>676275</xdr:colOff>
      <xdr:row>17</xdr:row>
      <xdr:rowOff>91443</xdr:rowOff>
    </xdr:to>
    <xdr:grpSp>
      <xdr:nvGrpSpPr>
        <xdr:cNvPr id="14" name="Group 13">
          <a:extLst>
            <a:ext uri="{FF2B5EF4-FFF2-40B4-BE49-F238E27FC236}">
              <a16:creationId xmlns:a16="http://schemas.microsoft.com/office/drawing/2014/main" xmlns="" id="{970531CE-648C-4A09-8FE6-34518F26F23F}"/>
            </a:ext>
          </a:extLst>
        </xdr:cNvPr>
        <xdr:cNvGrpSpPr/>
      </xdr:nvGrpSpPr>
      <xdr:grpSpPr>
        <a:xfrm>
          <a:off x="5589270" y="1892872"/>
          <a:ext cx="2364105" cy="1437071"/>
          <a:chOff x="5589270" y="1892872"/>
          <a:chExt cx="2364105" cy="1437071"/>
        </a:xfrm>
      </xdr:grpSpPr>
      <xdr:sp macro="" textlink="">
        <xdr:nvSpPr>
          <xdr:cNvPr id="15" name="Good to know Step" descr="GOOD TO KNOW&#10;A second row field makes a vertically-oriented PivotTable rather than horizontal. Some people find vertical PivotTables easer to read because they don't require as much scrolling from side-to-side.">
            <a:extLst>
              <a:ext uri="{FF2B5EF4-FFF2-40B4-BE49-F238E27FC236}">
                <a16:creationId xmlns:a16="http://schemas.microsoft.com/office/drawing/2014/main" xmlns="" id="{47A0F997-2D04-4A29-BAB1-09689286B1CE}"/>
              </a:ext>
            </a:extLst>
          </xdr:cNvPr>
          <xdr:cNvSpPr txBox="1"/>
        </xdr:nvSpPr>
        <xdr:spPr>
          <a:xfrm>
            <a:off x="5839052" y="1907205"/>
            <a:ext cx="2114323" cy="14227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Calibri Light" panose="020F0302020204030204" pitchFamily="34" charset="0"/>
              </a:rPr>
              <a:t>GOOD TO KNOW</a:t>
            </a:r>
            <a:r>
              <a:rPr lang="en-US" sz="1100" b="1" kern="0">
                <a:solidFill>
                  <a:srgbClr val="ED7D31">
                    <a:lumMod val="60000"/>
                    <a:lumOff val="40000"/>
                  </a:srgbClr>
                </a:solidFill>
                <a:latin typeface="Calibri" panose="020F0502020204030204" pitchFamily="34" charset="0"/>
                <a:ea typeface="Segoe UI" pitchFamily="34" charset="0"/>
                <a:cs typeface="Calibri" panose="020F0502020204030204" pitchFamily="34" charset="0"/>
              </a:rPr>
              <a:t>
</a:t>
            </a:r>
            <a:r>
              <a:rPr lang="en-US" sz="1100" b="0" kern="0">
                <a:solidFill>
                  <a:sysClr val="windowText" lastClr="000000"/>
                </a:solidFill>
                <a:latin typeface="Calibri" panose="020F0502020204030204" pitchFamily="34" charset="0"/>
                <a:ea typeface="Segoe UI" pitchFamily="34" charset="0"/>
                <a:cs typeface="Calibri" panose="020F0502020204030204" pitchFamily="34" charset="0"/>
              </a:rPr>
              <a:t>A second row field makes a vertically-oriented PivotTable rather than horizontal. Some </a:t>
            </a:r>
            <a:r>
              <a:rPr lang="en-US" sz="1100" b="0" kern="0">
                <a:solidFill>
                  <a:sysClr val="windowText" lastClr="000000"/>
                </a:solidFill>
                <a:latin typeface="+mj-lt"/>
                <a:ea typeface="Segoe UI" pitchFamily="34" charset="0"/>
                <a:cs typeface="Calibri" panose="020F0502020204030204" pitchFamily="34" charset="0"/>
              </a:rPr>
              <a:t>people</a:t>
            </a:r>
            <a:r>
              <a:rPr lang="en-US" sz="1100" b="0" kern="0">
                <a:solidFill>
                  <a:sysClr val="windowText" lastClr="000000"/>
                </a:solidFill>
                <a:latin typeface="Calibri" panose="020F0502020204030204" pitchFamily="34" charset="0"/>
                <a:ea typeface="Segoe UI" pitchFamily="34" charset="0"/>
                <a:cs typeface="Calibri" panose="020F0502020204030204" pitchFamily="34" charset="0"/>
              </a:rPr>
              <a:t> find vertical PivotTables easer to read because they don't require as much scrolling from side-to-side.</a:t>
            </a:r>
            <a:endParaRPr lang="en-US" sz="1100" b="0">
              <a:solidFill>
                <a:sysClr val="windowText" lastClr="000000"/>
              </a:solidFill>
              <a:effectLst/>
              <a:latin typeface="Calibri" panose="020F0502020204030204" pitchFamily="34" charset="0"/>
              <a:cs typeface="Calibri" panose="020F0502020204030204" pitchFamily="34" charset="0"/>
            </a:endParaRPr>
          </a:p>
        </xdr:txBody>
      </xdr:sp>
      <xdr:pic>
        <xdr:nvPicPr>
          <xdr:cNvPr id="16" name="Good to know Glasses">
            <a:extLst>
              <a:ext uri="{FF2B5EF4-FFF2-40B4-BE49-F238E27FC236}">
                <a16:creationId xmlns:a16="http://schemas.microsoft.com/office/drawing/2014/main" xmlns="" id="{7123E362-E055-4C97-BF78-CAA74C342071}"/>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xmlns="" r:embed="rId5"/>
              </a:ext>
            </a:extLst>
          </a:blip>
          <a:stretch>
            <a:fillRect/>
          </a:stretch>
        </xdr:blipFill>
        <xdr:spPr>
          <a:xfrm>
            <a:off x="5589270" y="1892872"/>
            <a:ext cx="305548" cy="305548"/>
          </a:xfrm>
          <a:prstGeom prst="rect">
            <a:avLst/>
          </a:prstGeom>
        </xdr:spPr>
      </xdr:pic>
    </xdr:grpSp>
    <xdr:clientData fLocksWithSheet="0"/>
  </xdr:twoCellAnchor>
  <xdr:twoCellAnchor editAs="absolute">
    <xdr:from>
      <xdr:col>1</xdr:col>
      <xdr:colOff>57149</xdr:colOff>
      <xdr:row>10</xdr:row>
      <xdr:rowOff>177166</xdr:rowOff>
    </xdr:from>
    <xdr:to>
      <xdr:col>2</xdr:col>
      <xdr:colOff>807720</xdr:colOff>
      <xdr:row>12</xdr:row>
      <xdr:rowOff>89190</xdr:rowOff>
    </xdr:to>
    <xdr:sp macro="" textlink="">
      <xdr:nvSpPr>
        <xdr:cNvPr id="17" name="Tip Text 25" descr="&#10;First row field">
          <a:extLst>
            <a:ext uri="{FF2B5EF4-FFF2-40B4-BE49-F238E27FC236}">
              <a16:creationId xmlns:a16="http://schemas.microsoft.com/office/drawing/2014/main" xmlns="" id="{A7578672-EEB9-45C5-9904-2CD5F5823ECB}"/>
            </a:ext>
          </a:extLst>
        </xdr:cNvPr>
        <xdr:cNvSpPr txBox="1"/>
      </xdr:nvSpPr>
      <xdr:spPr>
        <a:xfrm>
          <a:off x="666749" y="2082166"/>
          <a:ext cx="1360171" cy="293024"/>
        </a:xfrm>
        <a:prstGeom prst="rect">
          <a:avLst/>
        </a:prstGeom>
        <a:noFill/>
        <a:ln w="9525">
          <a:noFill/>
          <a:miter lim="800000"/>
          <a:headEnd/>
          <a:tailEnd/>
        </a:ln>
      </xdr:spPr>
      <xdr:txBody>
        <a:bodyPr rot="0" vert="horz" wrap="square" lIns="91440" tIns="45720" rIns="91440" bIns="45720" anchor="ctr" anchorCtr="0">
          <a:noAutofit/>
        </a:bodyPr>
        <a:lstStyle/>
        <a:p>
          <a:pPr algn="r" eaLnBrk="1" fontAlgn="auto" latinLnBrk="0" hangingPunct="1"/>
          <a:r>
            <a:rPr lang="en-US" sz="1100" b="0" i="0" baseline="0">
              <a:effectLst/>
              <a:latin typeface="Calibri" panose="020F0502020204030204" pitchFamily="34" charset="0"/>
              <a:ea typeface="+mn-ea"/>
              <a:cs typeface="Calibri" panose="020F0502020204030204" pitchFamily="34" charset="0"/>
            </a:rPr>
            <a:t>
First row field</a:t>
          </a:r>
          <a:endParaRPr lang="sq-AL" sz="1100">
            <a:effectLst/>
            <a:latin typeface="Calibri" panose="020F0502020204030204" pitchFamily="34" charset="0"/>
            <a:cs typeface="Calibri" panose="020F0502020204030204" pitchFamily="34" charset="0"/>
          </a:endParaRPr>
        </a:p>
      </xdr:txBody>
    </xdr:sp>
    <xdr:clientData/>
  </xdr:twoCellAnchor>
  <xdr:twoCellAnchor editAs="absolute">
    <xdr:from>
      <xdr:col>1</xdr:col>
      <xdr:colOff>441777</xdr:colOff>
      <xdr:row>12</xdr:row>
      <xdr:rowOff>145681</xdr:rowOff>
    </xdr:from>
    <xdr:to>
      <xdr:col>3</xdr:col>
      <xdr:colOff>1161954</xdr:colOff>
      <xdr:row>19</xdr:row>
      <xdr:rowOff>144327</xdr:rowOff>
    </xdr:to>
    <xdr:sp macro="" textlink="">
      <xdr:nvSpPr>
        <xdr:cNvPr id="18" name="shp_ArrowCurved" descr="Arrow">
          <a:extLst>
            <a:ext uri="{FF2B5EF4-FFF2-40B4-BE49-F238E27FC236}">
              <a16:creationId xmlns:a16="http://schemas.microsoft.com/office/drawing/2014/main" xmlns="" id="{26BF9689-B08C-4281-8FC2-FDB5364E194C}"/>
            </a:ext>
          </a:extLst>
        </xdr:cNvPr>
        <xdr:cNvSpPr/>
      </xdr:nvSpPr>
      <xdr:spPr>
        <a:xfrm rot="6645800" flipV="1">
          <a:off x="1693130" y="1789928"/>
          <a:ext cx="1332146" cy="2615652"/>
        </a:xfrm>
        <a:prstGeom prst="arc">
          <a:avLst>
            <a:gd name="adj1" fmla="val 11796840"/>
            <a:gd name="adj2" fmla="val 13141628"/>
          </a:avLst>
        </a:prstGeom>
        <a:ln w="19050">
          <a:headEnd type="arrow" w="med" len="med"/>
          <a:tailEnd type="none" w="med" len="med"/>
        </a:ln>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lgn="l"/>
          <a:endParaRPr lang="en-US" sz="1100">
            <a:solidFill>
              <a:schemeClr val="tx1"/>
            </a:solidFill>
            <a:latin typeface="+mn-lt"/>
            <a:ea typeface="+mn-ea"/>
            <a:cs typeface="+mn-cs"/>
          </a:endParaRPr>
        </a:p>
      </xdr:txBody>
    </xdr:sp>
    <xdr:clientData/>
  </xdr:twoCellAnchor>
  <xdr:twoCellAnchor editAs="absolute">
    <xdr:from>
      <xdr:col>0</xdr:col>
      <xdr:colOff>509153</xdr:colOff>
      <xdr:row>16</xdr:row>
      <xdr:rowOff>28575</xdr:rowOff>
    </xdr:from>
    <xdr:to>
      <xdr:col>2</xdr:col>
      <xdr:colOff>807720</xdr:colOff>
      <xdr:row>17</xdr:row>
      <xdr:rowOff>113954</xdr:rowOff>
    </xdr:to>
    <xdr:sp macro="" textlink="">
      <xdr:nvSpPr>
        <xdr:cNvPr id="19" name="Tip Text 26" descr="Second row field ">
          <a:extLst>
            <a:ext uri="{FF2B5EF4-FFF2-40B4-BE49-F238E27FC236}">
              <a16:creationId xmlns:a16="http://schemas.microsoft.com/office/drawing/2014/main" xmlns="" id="{9946C64C-8501-4A5C-928E-583376821E6B}"/>
            </a:ext>
          </a:extLst>
        </xdr:cNvPr>
        <xdr:cNvSpPr txBox="1"/>
      </xdr:nvSpPr>
      <xdr:spPr>
        <a:xfrm>
          <a:off x="509153" y="3076575"/>
          <a:ext cx="1517767" cy="275879"/>
        </a:xfrm>
        <a:prstGeom prst="rect">
          <a:avLst/>
        </a:prstGeom>
        <a:noFill/>
        <a:ln w="9525">
          <a:noFill/>
          <a:miter lim="800000"/>
          <a:headEnd/>
          <a:tailEnd/>
        </a:ln>
      </xdr:spPr>
      <xdr:txBody>
        <a:bodyPr rot="0" vert="horz" wrap="square" lIns="91440" tIns="45720" rIns="91440" bIns="45720" anchor="ctr" anchorCtr="0">
          <a:noAutofit/>
        </a:bodyPr>
        <a:lstStyle/>
        <a:p>
          <a:pPr algn="r" eaLnBrk="1" fontAlgn="auto" latinLnBrk="0" hangingPunct="1"/>
          <a:r>
            <a:rPr lang="en-US" sz="1100" b="0" i="0" baseline="0">
              <a:effectLst/>
              <a:latin typeface="Calibri" panose="020F0502020204030204" pitchFamily="34" charset="0"/>
              <a:ea typeface="+mn-ea"/>
              <a:cs typeface="Calibri" panose="020F0502020204030204" pitchFamily="34" charset="0"/>
            </a:rPr>
            <a:t>Second row field </a:t>
          </a:r>
          <a:endParaRPr lang="sq-AL" sz="1100">
            <a:effectLst/>
            <a:latin typeface="Calibri" panose="020F0502020204030204" pitchFamily="34" charset="0"/>
            <a:cs typeface="Calibri" panose="020F0502020204030204" pitchFamily="34" charset="0"/>
          </a:endParaRPr>
        </a:p>
      </xdr:txBody>
    </xdr:sp>
    <xdr:clientData/>
  </xdr:twoCellAnchor>
  <xdr:twoCellAnchor editAs="absolute">
    <xdr:from>
      <xdr:col>2</xdr:col>
      <xdr:colOff>914400</xdr:colOff>
      <xdr:row>13</xdr:row>
      <xdr:rowOff>104775</xdr:rowOff>
    </xdr:from>
    <xdr:to>
      <xdr:col>2</xdr:col>
      <xdr:colOff>1216132</xdr:colOff>
      <xdr:row>20</xdr:row>
      <xdr:rowOff>91440</xdr:rowOff>
    </xdr:to>
    <xdr:sp macro="" textlink="">
      <xdr:nvSpPr>
        <xdr:cNvPr id="20" name="shp_BraceBottom">
          <a:extLst>
            <a:ext uri="{FF2B5EF4-FFF2-40B4-BE49-F238E27FC236}">
              <a16:creationId xmlns:a16="http://schemas.microsoft.com/office/drawing/2014/main" xmlns="" id="{81E8B95A-9440-4A59-B6DF-EA9A9C99956E}"/>
            </a:ext>
          </a:extLst>
        </xdr:cNvPr>
        <xdr:cNvSpPr/>
      </xdr:nvSpPr>
      <xdr:spPr>
        <a:xfrm>
          <a:off x="2133600" y="2581275"/>
          <a:ext cx="301732" cy="1320165"/>
        </a:xfrm>
        <a:prstGeom prst="leftBrace">
          <a:avLst>
            <a:gd name="adj1" fmla="val 34667"/>
            <a:gd name="adj2" fmla="val 48452"/>
          </a:avLst>
        </a:prstGeom>
        <a:ln w="19050">
          <a:prstDash val="sysDash"/>
        </a:ln>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clientData/>
  </xdr:twoCellAnchor>
  <xdr:twoCellAnchor editAs="absolute">
    <xdr:from>
      <xdr:col>1</xdr:col>
      <xdr:colOff>57149</xdr:colOff>
      <xdr:row>19</xdr:row>
      <xdr:rowOff>126807</xdr:rowOff>
    </xdr:from>
    <xdr:to>
      <xdr:col>2</xdr:col>
      <xdr:colOff>807720</xdr:colOff>
      <xdr:row>21</xdr:row>
      <xdr:rowOff>50261</xdr:rowOff>
    </xdr:to>
    <xdr:sp macro="" textlink="">
      <xdr:nvSpPr>
        <xdr:cNvPr id="21" name="Tip Text 27" descr="&#10;First row field">
          <a:extLst>
            <a:ext uri="{FF2B5EF4-FFF2-40B4-BE49-F238E27FC236}">
              <a16:creationId xmlns:a16="http://schemas.microsoft.com/office/drawing/2014/main" xmlns="" id="{CB4CD197-D708-4FB3-B2E0-483F61A7C093}"/>
            </a:ext>
          </a:extLst>
        </xdr:cNvPr>
        <xdr:cNvSpPr txBox="1"/>
      </xdr:nvSpPr>
      <xdr:spPr>
        <a:xfrm>
          <a:off x="666749" y="3746307"/>
          <a:ext cx="1360171" cy="304454"/>
        </a:xfrm>
        <a:prstGeom prst="rect">
          <a:avLst/>
        </a:prstGeom>
        <a:noFill/>
        <a:ln w="9525">
          <a:noFill/>
          <a:miter lim="800000"/>
          <a:headEnd/>
          <a:tailEnd/>
        </a:ln>
      </xdr:spPr>
      <xdr:txBody>
        <a:bodyPr rot="0" vert="horz" wrap="square" lIns="91440" tIns="45720" rIns="91440" bIns="45720" anchor="ctr" anchorCtr="0">
          <a:noAutofit/>
        </a:bodyPr>
        <a:lstStyle/>
        <a:p>
          <a:pPr algn="r" eaLnBrk="1" fontAlgn="auto" latinLnBrk="0" hangingPunct="1"/>
          <a:r>
            <a:rPr lang="en-US" sz="1100" b="0" i="0" baseline="0">
              <a:effectLst/>
              <a:latin typeface="Calibri" panose="020F0502020204030204" pitchFamily="34" charset="0"/>
              <a:ea typeface="+mn-ea"/>
              <a:cs typeface="Calibri" panose="020F0502020204030204" pitchFamily="34" charset="0"/>
            </a:rPr>
            <a:t>
First row field</a:t>
          </a:r>
          <a:endParaRPr lang="sq-AL" sz="1100">
            <a:effectLst/>
            <a:latin typeface="Calibri" panose="020F0502020204030204" pitchFamily="34" charset="0"/>
            <a:cs typeface="Calibri" panose="020F0502020204030204" pitchFamily="34" charset="0"/>
          </a:endParaRPr>
        </a:p>
      </xdr:txBody>
    </xdr:sp>
    <xdr:clientData/>
  </xdr:twoCellAnchor>
  <xdr:twoCellAnchor editAs="absolute">
    <xdr:from>
      <xdr:col>1</xdr:col>
      <xdr:colOff>437966</xdr:colOff>
      <xdr:row>21</xdr:row>
      <xdr:rowOff>120087</xdr:rowOff>
    </xdr:from>
    <xdr:to>
      <xdr:col>3</xdr:col>
      <xdr:colOff>1165763</xdr:colOff>
      <xdr:row>28</xdr:row>
      <xdr:rowOff>88252</xdr:rowOff>
    </xdr:to>
    <xdr:sp macro="" textlink="">
      <xdr:nvSpPr>
        <xdr:cNvPr id="22" name="shp_ArrowCurved" descr="Arrow">
          <a:extLst>
            <a:ext uri="{FF2B5EF4-FFF2-40B4-BE49-F238E27FC236}">
              <a16:creationId xmlns:a16="http://schemas.microsoft.com/office/drawing/2014/main" xmlns="" id="{7F323653-F9C4-468F-91C5-A6BB34EFBA5E}"/>
            </a:ext>
          </a:extLst>
        </xdr:cNvPr>
        <xdr:cNvSpPr/>
      </xdr:nvSpPr>
      <xdr:spPr>
        <a:xfrm rot="6645800" flipV="1">
          <a:off x="1708369" y="3459784"/>
          <a:ext cx="1301665" cy="2623272"/>
        </a:xfrm>
        <a:prstGeom prst="arc">
          <a:avLst>
            <a:gd name="adj1" fmla="val 11796840"/>
            <a:gd name="adj2" fmla="val 13141628"/>
          </a:avLst>
        </a:prstGeom>
        <a:ln w="19050">
          <a:headEnd type="arrow" w="med" len="med"/>
          <a:tailEnd type="none" w="med" len="med"/>
        </a:ln>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lgn="l"/>
          <a:endParaRPr lang="en-US" sz="1100">
            <a:solidFill>
              <a:schemeClr val="tx1"/>
            </a:solidFill>
            <a:latin typeface="+mn-lt"/>
            <a:ea typeface="+mn-ea"/>
            <a:cs typeface="+mn-cs"/>
          </a:endParaRPr>
        </a:p>
      </xdr:txBody>
    </xdr:sp>
    <xdr:clientData/>
  </xdr:twoCellAnchor>
  <xdr:twoCellAnchor editAs="absolute">
    <xdr:from>
      <xdr:col>1</xdr:col>
      <xdr:colOff>277313</xdr:colOff>
      <xdr:row>25</xdr:row>
      <xdr:rowOff>78934</xdr:rowOff>
    </xdr:from>
    <xdr:to>
      <xdr:col>2</xdr:col>
      <xdr:colOff>807720</xdr:colOff>
      <xdr:row>27</xdr:row>
      <xdr:rowOff>13002</xdr:rowOff>
    </xdr:to>
    <xdr:sp macro="" textlink="">
      <xdr:nvSpPr>
        <xdr:cNvPr id="23" name="Tip Text 28" descr="Second row field ">
          <a:extLst>
            <a:ext uri="{FF2B5EF4-FFF2-40B4-BE49-F238E27FC236}">
              <a16:creationId xmlns:a16="http://schemas.microsoft.com/office/drawing/2014/main" xmlns="" id="{5C61B726-BE65-46DC-A58E-E6F34F9ED647}"/>
            </a:ext>
          </a:extLst>
        </xdr:cNvPr>
        <xdr:cNvSpPr txBox="1"/>
      </xdr:nvSpPr>
      <xdr:spPr>
        <a:xfrm>
          <a:off x="886913" y="4841434"/>
          <a:ext cx="1140007" cy="315068"/>
        </a:xfrm>
        <a:prstGeom prst="rect">
          <a:avLst/>
        </a:prstGeom>
        <a:noFill/>
        <a:ln w="9525">
          <a:noFill/>
          <a:miter lim="800000"/>
          <a:headEnd/>
          <a:tailEnd/>
        </a:ln>
      </xdr:spPr>
      <xdr:txBody>
        <a:bodyPr rot="0" vert="horz" wrap="square" lIns="91440" tIns="45720" rIns="91440" bIns="45720" anchor="ctr" anchorCtr="0">
          <a:noAutofit/>
        </a:bodyPr>
        <a:lstStyle/>
        <a:p>
          <a:pPr algn="r" eaLnBrk="1" fontAlgn="auto" latinLnBrk="0" hangingPunct="1"/>
          <a:r>
            <a:rPr lang="en-US" sz="1100" b="0" i="0" baseline="0">
              <a:effectLst/>
              <a:latin typeface="Calibri" panose="020F0502020204030204" pitchFamily="34" charset="0"/>
              <a:ea typeface="+mn-ea"/>
              <a:cs typeface="Calibri" panose="020F0502020204030204" pitchFamily="34" charset="0"/>
            </a:rPr>
            <a:t>Second row field </a:t>
          </a:r>
          <a:endParaRPr lang="sq-AL" sz="1100">
            <a:effectLst/>
            <a:latin typeface="Calibri" panose="020F0502020204030204" pitchFamily="34" charset="0"/>
            <a:cs typeface="Calibri" panose="020F0502020204030204" pitchFamily="34" charset="0"/>
          </a:endParaRPr>
        </a:p>
      </xdr:txBody>
    </xdr:sp>
    <xdr:clientData/>
  </xdr:twoCellAnchor>
  <xdr:twoCellAnchor editAs="absolute">
    <xdr:from>
      <xdr:col>2</xdr:col>
      <xdr:colOff>914400</xdr:colOff>
      <xdr:row>22</xdr:row>
      <xdr:rowOff>102872</xdr:rowOff>
    </xdr:from>
    <xdr:to>
      <xdr:col>2</xdr:col>
      <xdr:colOff>1216132</xdr:colOff>
      <xdr:row>30</xdr:row>
      <xdr:rowOff>66676</xdr:rowOff>
    </xdr:to>
    <xdr:sp macro="" textlink="">
      <xdr:nvSpPr>
        <xdr:cNvPr id="24" name="shp_BraceBottom">
          <a:extLst>
            <a:ext uri="{FF2B5EF4-FFF2-40B4-BE49-F238E27FC236}">
              <a16:creationId xmlns:a16="http://schemas.microsoft.com/office/drawing/2014/main" xmlns="" id="{09B9819B-DC09-48A8-BA13-8814AD94C4D4}"/>
            </a:ext>
          </a:extLst>
        </xdr:cNvPr>
        <xdr:cNvSpPr/>
      </xdr:nvSpPr>
      <xdr:spPr>
        <a:xfrm>
          <a:off x="2133600" y="4293872"/>
          <a:ext cx="301732" cy="1487804"/>
        </a:xfrm>
        <a:prstGeom prst="leftBrace">
          <a:avLst>
            <a:gd name="adj1" fmla="val 34667"/>
            <a:gd name="adj2" fmla="val 47807"/>
          </a:avLst>
        </a:prstGeom>
        <a:ln w="19050">
          <a:prstDash val="sysDash"/>
        </a:ln>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clientData/>
  </xdr:twoCellAnchor>
  <xdr:twoCellAnchor editAs="absolute">
    <xdr:from>
      <xdr:col>5</xdr:col>
      <xdr:colOff>723900</xdr:colOff>
      <xdr:row>21</xdr:row>
      <xdr:rowOff>9525</xdr:rowOff>
    </xdr:from>
    <xdr:to>
      <xdr:col>7</xdr:col>
      <xdr:colOff>619125</xdr:colOff>
      <xdr:row>26</xdr:row>
      <xdr:rowOff>13238</xdr:rowOff>
    </xdr:to>
    <xdr:grpSp>
      <xdr:nvGrpSpPr>
        <xdr:cNvPr id="25" name="Group 24">
          <a:extLst>
            <a:ext uri="{FF2B5EF4-FFF2-40B4-BE49-F238E27FC236}">
              <a16:creationId xmlns:a16="http://schemas.microsoft.com/office/drawing/2014/main" xmlns="" id="{630835DB-F3CE-4046-8FAA-EB8231A1315D}"/>
            </a:ext>
          </a:extLst>
        </xdr:cNvPr>
        <xdr:cNvGrpSpPr/>
      </xdr:nvGrpSpPr>
      <xdr:grpSpPr>
        <a:xfrm>
          <a:off x="5543550" y="4010025"/>
          <a:ext cx="2352675" cy="956213"/>
          <a:chOff x="5953125" y="3810000"/>
          <a:chExt cx="2352675" cy="956213"/>
        </a:xfrm>
      </xdr:grpSpPr>
      <xdr:pic>
        <xdr:nvPicPr>
          <xdr:cNvPr id="26" name="Graphic 3">
            <a:extLst>
              <a:ext uri="{FF2B5EF4-FFF2-40B4-BE49-F238E27FC236}">
                <a16:creationId xmlns:a16="http://schemas.microsoft.com/office/drawing/2014/main" xmlns="" id="{10724963-B340-4ED2-BFBB-A9290D38A5C7}"/>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xmlns="" r:embed="rId7"/>
              </a:ext>
            </a:extLst>
          </a:blip>
          <a:stretch>
            <a:fillRect/>
          </a:stretch>
        </xdr:blipFill>
        <xdr:spPr>
          <a:xfrm>
            <a:off x="6019391" y="3952317"/>
            <a:ext cx="244677" cy="244677"/>
          </a:xfrm>
          <a:prstGeom prst="rect">
            <a:avLst/>
          </a:prstGeom>
        </xdr:spPr>
      </xdr:pic>
      <xdr:sp macro="" textlink="">
        <xdr:nvSpPr>
          <xdr:cNvPr id="27" name="Speech Bubble: Oval 26">
            <a:extLst>
              <a:ext uri="{FF2B5EF4-FFF2-40B4-BE49-F238E27FC236}">
                <a16:creationId xmlns:a16="http://schemas.microsoft.com/office/drawing/2014/main" xmlns="" id="{77CA34B3-3BCA-445B-AE3E-66A59BDD5551}"/>
              </a:ext>
            </a:extLst>
          </xdr:cNvPr>
          <xdr:cNvSpPr/>
        </xdr:nvSpPr>
        <xdr:spPr>
          <a:xfrm flipH="1">
            <a:off x="5953125" y="3881503"/>
            <a:ext cx="132534" cy="110098"/>
          </a:xfrm>
          <a:prstGeom prst="wedgeEllipseCallout">
            <a:avLst>
              <a:gd name="adj1" fmla="val -53664"/>
              <a:gd name="adj2" fmla="val 94316"/>
            </a:avLst>
          </a:prstGeom>
          <a:solidFill>
            <a:schemeClr val="accent2">
              <a:lumMod val="60000"/>
              <a:lumOff val="40000"/>
            </a:schemeClr>
          </a:solidFill>
          <a:ln w="3870">
            <a:noFill/>
            <a:prstDash val="soli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28" name="Excel Speak Step" descr="EXCEL SPEAK&#10;Sometimes people call a second row field a &quot;secondary row field.&quot;">
            <a:extLst>
              <a:ext uri="{FF2B5EF4-FFF2-40B4-BE49-F238E27FC236}">
                <a16:creationId xmlns:a16="http://schemas.microsoft.com/office/drawing/2014/main" xmlns="" id="{684305F0-B9C0-445D-B589-DD93455181D0}"/>
              </a:ext>
            </a:extLst>
          </xdr:cNvPr>
          <xdr:cNvSpPr txBox="1"/>
        </xdr:nvSpPr>
        <xdr:spPr>
          <a:xfrm>
            <a:off x="6195755" y="3810000"/>
            <a:ext cx="2110045" cy="9562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Calibri" panose="020F0502020204030204" pitchFamily="34" charset="0"/>
              </a:rPr>
              <a:t>EXCEL SPEAK</a:t>
            </a:r>
            <a:r>
              <a:rPr lang="en-US" sz="1100" b="1" kern="0">
                <a:solidFill>
                  <a:srgbClr val="ED7D31">
                    <a:lumMod val="60000"/>
                    <a:lumOff val="40000"/>
                  </a:srgbClr>
                </a:solidFill>
                <a:latin typeface="Calibri" panose="020F0502020204030204" pitchFamily="34" charset="0"/>
                <a:ea typeface="Segoe UI" pitchFamily="34" charset="0"/>
                <a:cs typeface="Calibri" panose="020F0502020204030204" pitchFamily="34" charset="0"/>
              </a:rPr>
              <a:t>
</a:t>
            </a:r>
            <a:r>
              <a:rPr lang="en-US" sz="1100" b="0" kern="0">
                <a:solidFill>
                  <a:sysClr val="windowText" lastClr="000000"/>
                </a:solidFill>
                <a:latin typeface="Calibri" panose="020F0502020204030204" pitchFamily="34" charset="0"/>
                <a:ea typeface="Segoe UI" pitchFamily="34" charset="0"/>
                <a:cs typeface="Calibri" panose="020F0502020204030204" pitchFamily="34" charset="0"/>
              </a:rPr>
              <a:t>Sometimes people call a second row field a "secondary row field."</a:t>
            </a:r>
          </a:p>
        </xdr:txBody>
      </xdr:sp>
    </xdr:grpSp>
    <xdr:clientData fLocksWithSheet="0"/>
  </xdr:twoCellAnchor>
</xdr:wsDr>
</file>

<file path=xl/drawings/drawing14.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12</xdr:col>
      <xdr:colOff>466343</xdr:colOff>
      <xdr:row>36</xdr:row>
      <xdr:rowOff>96025</xdr:rowOff>
    </xdr:to>
    <xdr:grpSp>
      <xdr:nvGrpSpPr>
        <xdr:cNvPr id="2" name="Group 1">
          <a:extLst>
            <a:ext uri="{FF2B5EF4-FFF2-40B4-BE49-F238E27FC236}">
              <a16:creationId xmlns:a16="http://schemas.microsoft.com/office/drawing/2014/main" xmlns="" id="{9C85796B-92D2-4935-9D7C-1B7D8DF135F2}"/>
            </a:ext>
          </a:extLst>
        </xdr:cNvPr>
        <xdr:cNvGrpSpPr/>
      </xdr:nvGrpSpPr>
      <xdr:grpSpPr>
        <a:xfrm>
          <a:off x="0" y="0"/>
          <a:ext cx="7781543" cy="6954025"/>
          <a:chOff x="0" y="0"/>
          <a:chExt cx="7781543" cy="6954025"/>
        </a:xfrm>
      </xdr:grpSpPr>
      <xdr:sp macro="" textlink="">
        <xdr:nvSpPr>
          <xdr:cNvPr id="3" name="txt_WalkMeHeader" descr="On the next sheet you'll add a second row field. And you'll do that by dragging the Type field under the Buyer field.">
            <a:extLst>
              <a:ext uri="{FF2B5EF4-FFF2-40B4-BE49-F238E27FC236}">
                <a16:creationId xmlns:a16="http://schemas.microsoft.com/office/drawing/2014/main" xmlns="" id="{DED3A312-0337-44C4-8D5E-BE0AC24A4466}"/>
              </a:ext>
            </a:extLst>
          </xdr:cNvPr>
          <xdr:cNvSpPr txBox="1"/>
        </xdr:nvSpPr>
        <xdr:spPr>
          <a:xfrm>
            <a:off x="0" y="0"/>
            <a:ext cx="7781543" cy="76821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500" b="0" kern="1200" baseline="0">
                <a:solidFill>
                  <a:schemeClr val="dk1"/>
                </a:solidFill>
                <a:effectLst/>
                <a:latin typeface="Segoe UI Semibold" panose="020B0702040204020203" pitchFamily="34" charset="0"/>
                <a:ea typeface="+mn-ea"/>
                <a:cs typeface="Segoe UI Semibold" panose="020B0702040204020203" pitchFamily="34" charset="0"/>
              </a:rPr>
              <a:t>On the next sheet you'll add a second row field. </a:t>
            </a:r>
            <a:r>
              <a:rPr lang="en-US" sz="1500" b="0" kern="1200" baseline="0">
                <a:solidFill>
                  <a:schemeClr val="dk1"/>
                </a:solidFill>
                <a:effectLst/>
                <a:latin typeface="Segoe UI Light" panose="020B0502040204020203" pitchFamily="34" charset="0"/>
                <a:ea typeface="+mn-ea"/>
                <a:cs typeface="Segoe UI Light" panose="020B0502040204020203" pitchFamily="34" charset="0"/>
              </a:rPr>
              <a:t>And you'll do that by dragging the </a:t>
            </a:r>
            <a:r>
              <a:rPr lang="en-US" sz="1500" b="0" i="1" kern="1200" baseline="0">
                <a:solidFill>
                  <a:schemeClr val="dk1"/>
                </a:solidFill>
                <a:effectLst/>
                <a:latin typeface="Segoe UI Light" panose="020B0502040204020203" pitchFamily="34" charset="0"/>
                <a:ea typeface="+mn-ea"/>
                <a:cs typeface="Segoe UI Light" panose="020B0502040204020203" pitchFamily="34" charset="0"/>
              </a:rPr>
              <a:t>Type</a:t>
            </a:r>
            <a:r>
              <a:rPr lang="en-US" sz="1500" b="0" kern="1200" baseline="0">
                <a:solidFill>
                  <a:schemeClr val="dk1"/>
                </a:solidFill>
                <a:effectLst/>
                <a:latin typeface="Segoe UI Light" panose="020B0502040204020203" pitchFamily="34" charset="0"/>
                <a:ea typeface="+mn-ea"/>
                <a:cs typeface="Segoe UI Light" panose="020B0502040204020203" pitchFamily="34" charset="0"/>
              </a:rPr>
              <a:t> field under the </a:t>
            </a:r>
            <a:r>
              <a:rPr lang="en-US" sz="1500" b="0" i="1" kern="1200" baseline="0">
                <a:solidFill>
                  <a:schemeClr val="dk1"/>
                </a:solidFill>
                <a:effectLst/>
                <a:latin typeface="Segoe UI Light" panose="020B0502040204020203" pitchFamily="34" charset="0"/>
                <a:ea typeface="+mn-ea"/>
                <a:cs typeface="Segoe UI Light" panose="020B0502040204020203" pitchFamily="34" charset="0"/>
              </a:rPr>
              <a:t>Buyer</a:t>
            </a:r>
            <a:r>
              <a:rPr lang="en-US" sz="1500" b="0" kern="1200" baseline="0">
                <a:solidFill>
                  <a:schemeClr val="dk1"/>
                </a:solidFill>
                <a:effectLst/>
                <a:latin typeface="Segoe UI Light" panose="020B0502040204020203" pitchFamily="34" charset="0"/>
                <a:ea typeface="+mn-ea"/>
                <a:cs typeface="Segoe UI Light" panose="020B0502040204020203" pitchFamily="34" charset="0"/>
              </a:rPr>
              <a:t> field.</a:t>
            </a:r>
          </a:p>
        </xdr:txBody>
      </xdr:sp>
      <xdr:sp macro="" textlink="">
        <xdr:nvSpPr>
          <xdr:cNvPr id="4" name="txt_WalkMeFooter">
            <a:extLst>
              <a:ext uri="{FF2B5EF4-FFF2-40B4-BE49-F238E27FC236}">
                <a16:creationId xmlns:a16="http://schemas.microsoft.com/office/drawing/2014/main" xmlns="" id="{B4E80652-A5E7-4718-A52E-BD1821A95F7A}"/>
              </a:ext>
            </a:extLst>
          </xdr:cNvPr>
          <xdr:cNvSpPr txBox="1"/>
        </xdr:nvSpPr>
        <xdr:spPr>
          <a:xfrm>
            <a:off x="0" y="6286513"/>
            <a:ext cx="7781543" cy="66751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sp macro="" textlink="">
        <xdr:nvSpPr>
          <xdr:cNvPr id="5" name="txt_WalkMeNext" descr="Next step button, hyperlinked to next sheet">
            <a:hlinkClick xmlns:r="http://schemas.openxmlformats.org/officeDocument/2006/relationships" r:id="rId1" tooltip="Click here to go to the next sheet"/>
            <a:extLst>
              <a:ext uri="{FF2B5EF4-FFF2-40B4-BE49-F238E27FC236}">
                <a16:creationId xmlns:a16="http://schemas.microsoft.com/office/drawing/2014/main" xmlns="" id="{9B0D9D53-B54E-4C12-8059-B8B7B32E2019}"/>
              </a:ext>
            </a:extLst>
          </xdr:cNvPr>
          <xdr:cNvSpPr/>
        </xdr:nvSpPr>
        <xdr:spPr>
          <a:xfrm>
            <a:off x="6261100" y="6448082"/>
            <a:ext cx="1207008" cy="344374"/>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sp macro="" textlink="">
        <xdr:nvSpPr>
          <xdr:cNvPr id="6" name="txt_WalkMePrevious" descr="Previous step button, hyperlinked to previous sheet">
            <a:hlinkClick xmlns:r="http://schemas.openxmlformats.org/officeDocument/2006/relationships" r:id="rId2" tooltip="Click here to go back to the previous sheet"/>
            <a:extLst>
              <a:ext uri="{FF2B5EF4-FFF2-40B4-BE49-F238E27FC236}">
                <a16:creationId xmlns:a16="http://schemas.microsoft.com/office/drawing/2014/main" xmlns="" id="{C81B3260-037F-4C93-AEA7-4333B6D144E1}"/>
              </a:ext>
            </a:extLst>
          </xdr:cNvPr>
          <xdr:cNvSpPr/>
        </xdr:nvSpPr>
        <xdr:spPr>
          <a:xfrm flipH="1">
            <a:off x="304800" y="6448082"/>
            <a:ext cx="1207008" cy="344374"/>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sp macro="" textlink="">
        <xdr:nvSpPr>
          <xdr:cNvPr id="7" name="txt_WalkMeFeedback" descr="Feedback button, hyperlinked to web form">
            <a:hlinkClick xmlns:r="http://schemas.openxmlformats.org/officeDocument/2006/relationships" r:id="rId3" tooltip="Click to give us feedback on this tutorial"/>
            <a:extLst>
              <a:ext uri="{FF2B5EF4-FFF2-40B4-BE49-F238E27FC236}">
                <a16:creationId xmlns:a16="http://schemas.microsoft.com/office/drawing/2014/main" xmlns="" id="{A3210BDA-B749-4515-8AC7-622D651624A9}"/>
              </a:ext>
            </a:extLst>
          </xdr:cNvPr>
          <xdr:cNvSpPr/>
        </xdr:nvSpPr>
        <xdr:spPr>
          <a:xfrm>
            <a:off x="3291839" y="6768593"/>
            <a:ext cx="1197864" cy="185432"/>
          </a:xfrm>
          <a:prstGeom prst="rect">
            <a:avLst/>
          </a:prstGeom>
          <a:solidFill>
            <a:schemeClr val="bg1">
              <a:lumMod val="85000"/>
            </a:schemeClr>
          </a:solidFill>
          <a:ln>
            <a:no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100" u="sng">
                <a:solidFill>
                  <a:sysClr val="windowText" lastClr="000000"/>
                </a:solidFill>
                <a:latin typeface="Segoe UI" pitchFamily="34" charset="0"/>
                <a:ea typeface="Segoe UI" pitchFamily="34" charset="0"/>
                <a:cs typeface="Segoe UI" pitchFamily="34" charset="0"/>
              </a:rPr>
              <a:t>Feedback</a:t>
            </a:r>
          </a:p>
        </xdr:txBody>
      </xdr:sp>
    </xdr:grpSp>
    <xdr:clientData/>
  </xdr:twoCellAnchor>
  <xdr:twoCellAnchor editAs="oneCell">
    <xdr:from>
      <xdr:col>4</xdr:col>
      <xdr:colOff>214121</xdr:colOff>
      <xdr:row>5</xdr:row>
      <xdr:rowOff>9525</xdr:rowOff>
    </xdr:from>
    <xdr:to>
      <xdr:col>8</xdr:col>
      <xdr:colOff>252221</xdr:colOff>
      <xdr:row>31</xdr:row>
      <xdr:rowOff>171450</xdr:rowOff>
    </xdr:to>
    <xdr:pic>
      <xdr:nvPicPr>
        <xdr:cNvPr id="8" name="Picture 7">
          <a:extLst>
            <a:ext uri="{FF2B5EF4-FFF2-40B4-BE49-F238E27FC236}">
              <a16:creationId xmlns:a16="http://schemas.microsoft.com/office/drawing/2014/main" xmlns="" id="{FF6CC221-8892-463E-B141-1323334F6DD2}"/>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2652521" y="962025"/>
          <a:ext cx="2476500" cy="511492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absolute">
    <xdr:from>
      <xdr:col>0</xdr:col>
      <xdr:colOff>481615</xdr:colOff>
      <xdr:row>3</xdr:row>
      <xdr:rowOff>17040</xdr:rowOff>
    </xdr:from>
    <xdr:to>
      <xdr:col>2</xdr:col>
      <xdr:colOff>367315</xdr:colOff>
      <xdr:row>10</xdr:row>
      <xdr:rowOff>55140</xdr:rowOff>
    </xdr:to>
    <xdr:sp macro="" textlink="" fLocksText="0">
      <xdr:nvSpPr>
        <xdr:cNvPr id="4" name="txt_Practice1" descr="Click inside the PivotTable below. ">
          <a:extLst>
            <a:ext uri="{FF2B5EF4-FFF2-40B4-BE49-F238E27FC236}">
              <a16:creationId xmlns:a16="http://schemas.microsoft.com/office/drawing/2014/main" xmlns="" id="{C96E267C-A4E5-4CC6-819B-BCFB5FC9529B}"/>
            </a:ext>
          </a:extLst>
        </xdr:cNvPr>
        <xdr:cNvSpPr txBox="1"/>
      </xdr:nvSpPr>
      <xdr:spPr>
        <a:xfrm>
          <a:off x="481615" y="588540"/>
          <a:ext cx="1371600" cy="1371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Click inside the PivotTable below. </a:t>
          </a:r>
        </a:p>
      </xdr:txBody>
    </xdr:sp>
    <xdr:clientData/>
  </xdr:twoCellAnchor>
  <xdr:twoCellAnchor editAs="absolute">
    <xdr:from>
      <xdr:col>2</xdr:col>
      <xdr:colOff>770527</xdr:colOff>
      <xdr:row>3</xdr:row>
      <xdr:rowOff>17040</xdr:rowOff>
    </xdr:from>
    <xdr:to>
      <xdr:col>4</xdr:col>
      <xdr:colOff>541927</xdr:colOff>
      <xdr:row>10</xdr:row>
      <xdr:rowOff>55140</xdr:rowOff>
    </xdr:to>
    <xdr:sp macro="" textlink="" fLocksText="0">
      <xdr:nvSpPr>
        <xdr:cNvPr id="5" name="txt_Practice2" descr="Do you see the PivotTable Fields list on the right? Good! (If you don't see it, right-click the PivotTable below and choose Show Field List).">
          <a:extLst>
            <a:ext uri="{FF2B5EF4-FFF2-40B4-BE49-F238E27FC236}">
              <a16:creationId xmlns:a16="http://schemas.microsoft.com/office/drawing/2014/main" xmlns="" id="{F38FFA2B-FC33-4C8B-908F-38EE2B322033}"/>
            </a:ext>
          </a:extLst>
        </xdr:cNvPr>
        <xdr:cNvSpPr txBox="1"/>
      </xdr:nvSpPr>
      <xdr:spPr>
        <a:xfrm>
          <a:off x="2256427" y="588540"/>
          <a:ext cx="1371600" cy="1371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1000" b="0" i="0" kern="1200" baseline="0">
              <a:solidFill>
                <a:schemeClr val="dk1"/>
              </a:solidFill>
              <a:effectLst/>
              <a:latin typeface="Segoe UI" panose="020B0502040204020203" pitchFamily="34" charset="0"/>
              <a:ea typeface="+mn-ea"/>
              <a:cs typeface="Segoe UI" panose="020B0502040204020203" pitchFamily="34" charset="0"/>
            </a:rPr>
            <a:t>Do you see the PivotTable Fields list on the right? Good! (If you don't see it, </a:t>
          </a:r>
          <a:br>
            <a:rPr lang="en-US" sz="1000" b="0" i="0" kern="1200" baseline="0">
              <a:solidFill>
                <a:schemeClr val="dk1"/>
              </a:solidFill>
              <a:effectLst/>
              <a:latin typeface="Segoe UI" panose="020B0502040204020203" pitchFamily="34" charset="0"/>
              <a:ea typeface="+mn-ea"/>
              <a:cs typeface="Segoe UI" panose="020B0502040204020203" pitchFamily="34" charset="0"/>
            </a:rPr>
          </a:br>
          <a:r>
            <a:rPr lang="en-US" sz="1000" b="0" i="0" kern="1200" baseline="0">
              <a:solidFill>
                <a:schemeClr val="dk1"/>
              </a:solidFill>
              <a:effectLst/>
              <a:latin typeface="Segoe UI" panose="020B0502040204020203" pitchFamily="34" charset="0"/>
              <a:ea typeface="+mn-ea"/>
              <a:cs typeface="Segoe UI" panose="020B0502040204020203" pitchFamily="34" charset="0"/>
            </a:rPr>
            <a:t>right-click the PivotTable below and choose </a:t>
          </a:r>
          <a:r>
            <a:rPr lang="en-US" sz="1000" b="1" i="0" kern="1200" baseline="0">
              <a:solidFill>
                <a:schemeClr val="dk1"/>
              </a:solidFill>
              <a:effectLst/>
              <a:latin typeface="Segoe UI" panose="020B0502040204020203" pitchFamily="34" charset="0"/>
              <a:ea typeface="+mn-ea"/>
              <a:cs typeface="Segoe UI" panose="020B0502040204020203" pitchFamily="34" charset="0"/>
            </a:rPr>
            <a:t>Show Field List</a:t>
          </a:r>
          <a:r>
            <a:rPr lang="en-US" sz="1000" b="0" i="0" kern="1200" baseline="0">
              <a:solidFill>
                <a:schemeClr val="dk1"/>
              </a:solidFill>
              <a:effectLst/>
              <a:latin typeface="Segoe UI" panose="020B0502040204020203" pitchFamily="34" charset="0"/>
              <a:ea typeface="+mn-ea"/>
              <a:cs typeface="Segoe UI" panose="020B0502040204020203" pitchFamily="34" charset="0"/>
            </a:rPr>
            <a:t>).</a:t>
          </a:r>
          <a:endParaRPr kumimoji="0" lang="en-US" sz="10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5</xdr:col>
      <xdr:colOff>415901</xdr:colOff>
      <xdr:row>3</xdr:row>
      <xdr:rowOff>17040</xdr:rowOff>
    </xdr:from>
    <xdr:to>
      <xdr:col>7</xdr:col>
      <xdr:colOff>568301</xdr:colOff>
      <xdr:row>10</xdr:row>
      <xdr:rowOff>55140</xdr:rowOff>
    </xdr:to>
    <xdr:sp macro="" textlink="" fLocksText="0">
      <xdr:nvSpPr>
        <xdr:cNvPr id="6" name="txt_Practice3" descr="In the PivotTable Fields list, drag the Type field down and  place it under the Buyer field. (Like we showed you on the previous sheet).">
          <a:extLst>
            <a:ext uri="{FF2B5EF4-FFF2-40B4-BE49-F238E27FC236}">
              <a16:creationId xmlns:a16="http://schemas.microsoft.com/office/drawing/2014/main" xmlns="" id="{34DD1D23-1869-40B7-86DB-5B56949D221E}"/>
            </a:ext>
          </a:extLst>
        </xdr:cNvPr>
        <xdr:cNvSpPr txBox="1"/>
      </xdr:nvSpPr>
      <xdr:spPr>
        <a:xfrm>
          <a:off x="4111601" y="588540"/>
          <a:ext cx="1371600" cy="1371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In the PivotTable Fields list, drag the </a:t>
          </a:r>
          <a:r>
            <a:rPr kumimoji="0" lang="en-US" sz="10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Type</a:t>
          </a:r>
          <a:r>
            <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 field down and  place it under the </a:t>
          </a:r>
          <a:r>
            <a:rPr kumimoji="0" lang="en-US" sz="10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Buyer</a:t>
          </a:r>
          <a:r>
            <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 field. (Like we showed you on the previous sheet).</a:t>
          </a:r>
        </a:p>
      </xdr:txBody>
    </xdr:sp>
    <xdr:clientData/>
  </xdr:twoCellAnchor>
  <xdr:twoCellAnchor editAs="absolute">
    <xdr:from>
      <xdr:col>0</xdr:col>
      <xdr:colOff>76085</xdr:colOff>
      <xdr:row>3</xdr:row>
      <xdr:rowOff>17041</xdr:rowOff>
    </xdr:from>
    <xdr:to>
      <xdr:col>0</xdr:col>
      <xdr:colOff>450989</xdr:colOff>
      <xdr:row>5</xdr:row>
      <xdr:rowOff>10945</xdr:rowOff>
    </xdr:to>
    <xdr:sp macro="" textlink="" fLocksText="0">
      <xdr:nvSpPr>
        <xdr:cNvPr id="7" name="shp_Practice1" descr="1">
          <a:extLst>
            <a:ext uri="{FF2B5EF4-FFF2-40B4-BE49-F238E27FC236}">
              <a16:creationId xmlns:a16="http://schemas.microsoft.com/office/drawing/2014/main" xmlns="" id="{8E1F5379-977E-462C-B025-218BF08909AA}"/>
            </a:ext>
          </a:extLst>
        </xdr:cNvPr>
        <xdr:cNvSpPr/>
      </xdr:nvSpPr>
      <xdr:spPr>
        <a:xfrm>
          <a:off x="76085" y="588541"/>
          <a:ext cx="37490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clientData/>
  </xdr:twoCellAnchor>
  <xdr:twoCellAnchor editAs="absolute">
    <xdr:from>
      <xdr:col>2</xdr:col>
      <xdr:colOff>424748</xdr:colOff>
      <xdr:row>3</xdr:row>
      <xdr:rowOff>17040</xdr:rowOff>
    </xdr:from>
    <xdr:to>
      <xdr:col>2</xdr:col>
      <xdr:colOff>799652</xdr:colOff>
      <xdr:row>5</xdr:row>
      <xdr:rowOff>10944</xdr:rowOff>
    </xdr:to>
    <xdr:sp macro="" textlink="" fLocksText="0">
      <xdr:nvSpPr>
        <xdr:cNvPr id="8" name="shp_Practice2" descr="2">
          <a:extLst>
            <a:ext uri="{FF2B5EF4-FFF2-40B4-BE49-F238E27FC236}">
              <a16:creationId xmlns:a16="http://schemas.microsoft.com/office/drawing/2014/main" xmlns="" id="{C626D71F-2C94-44FC-9CF7-AD4C9C85300E}"/>
            </a:ext>
          </a:extLst>
        </xdr:cNvPr>
        <xdr:cNvSpPr/>
      </xdr:nvSpPr>
      <xdr:spPr>
        <a:xfrm>
          <a:off x="1910648" y="588540"/>
          <a:ext cx="37490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clientData/>
  </xdr:twoCellAnchor>
  <xdr:twoCellAnchor editAs="absolute">
    <xdr:from>
      <xdr:col>5</xdr:col>
      <xdr:colOff>49511</xdr:colOff>
      <xdr:row>3</xdr:row>
      <xdr:rowOff>17040</xdr:rowOff>
    </xdr:from>
    <xdr:to>
      <xdr:col>5</xdr:col>
      <xdr:colOff>424415</xdr:colOff>
      <xdr:row>5</xdr:row>
      <xdr:rowOff>10944</xdr:rowOff>
    </xdr:to>
    <xdr:sp macro="" textlink="" fLocksText="0">
      <xdr:nvSpPr>
        <xdr:cNvPr id="9" name="shp_Practice3" descr="3">
          <a:extLst>
            <a:ext uri="{FF2B5EF4-FFF2-40B4-BE49-F238E27FC236}">
              <a16:creationId xmlns:a16="http://schemas.microsoft.com/office/drawing/2014/main" xmlns="" id="{2D576952-5C20-43B5-B53D-5CD389DAE293}"/>
            </a:ext>
          </a:extLst>
        </xdr:cNvPr>
        <xdr:cNvSpPr/>
      </xdr:nvSpPr>
      <xdr:spPr>
        <a:xfrm>
          <a:off x="3745211" y="588540"/>
          <a:ext cx="37490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clientData/>
  </xdr:twoCellAnchor>
  <xdr:twoCellAnchor editAs="absolute">
    <xdr:from>
      <xdr:col>0</xdr:col>
      <xdr:colOff>0</xdr:colOff>
      <xdr:row>0</xdr:row>
      <xdr:rowOff>0</xdr:rowOff>
    </xdr:from>
    <xdr:to>
      <xdr:col>11</xdr:col>
      <xdr:colOff>428243</xdr:colOff>
      <xdr:row>2</xdr:row>
      <xdr:rowOff>21336</xdr:rowOff>
    </xdr:to>
    <xdr:sp macro="" textlink="" fLocksText="0">
      <xdr:nvSpPr>
        <xdr:cNvPr id="10" name="txt_PracticeHeader" descr="Practice">
          <a:extLst>
            <a:ext uri="{FF2B5EF4-FFF2-40B4-BE49-F238E27FC236}">
              <a16:creationId xmlns:a16="http://schemas.microsoft.com/office/drawing/2014/main" xmlns="" id="{BABF5F6D-DA54-4FA5-9549-BC77DAECECFD}"/>
            </a:ext>
          </a:extLst>
        </xdr:cNvPr>
        <xdr:cNvSpPr txBox="1"/>
      </xdr:nvSpPr>
      <xdr:spPr>
        <a:xfrm>
          <a:off x="0" y="0"/>
          <a:ext cx="7781543" cy="402336"/>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800" b="1" kern="0" baseline="0">
              <a:solidFill>
                <a:schemeClr val="bg1"/>
              </a:solidFill>
              <a:latin typeface="Segoe UI Semibold" panose="020B0702040204020203" pitchFamily="34" charset="0"/>
              <a:ea typeface="Segoe UI" pitchFamily="34" charset="0"/>
              <a:cs typeface="Segoe UI Semibold" panose="020B0702040204020203" pitchFamily="34" charset="0"/>
            </a:rPr>
            <a:t>Practice</a:t>
          </a:r>
          <a:endParaRPr lang="en-US" sz="1800">
            <a:solidFill>
              <a:schemeClr val="bg1"/>
            </a:solidFill>
            <a:latin typeface="Segoe UI Semibold" panose="020B0702040204020203" pitchFamily="34" charset="0"/>
            <a:ea typeface="Segoe UI" pitchFamily="34" charset="0"/>
            <a:cs typeface="Segoe UI Light" panose="020B0502040204020203" pitchFamily="34" charset="0"/>
          </a:endParaRPr>
        </a:p>
      </xdr:txBody>
    </xdr:sp>
    <xdr:clientData/>
  </xdr:twoCellAnchor>
  <xdr:twoCellAnchor editAs="absolute">
    <xdr:from>
      <xdr:col>0</xdr:col>
      <xdr:colOff>0</xdr:colOff>
      <xdr:row>39</xdr:row>
      <xdr:rowOff>14274</xdr:rowOff>
    </xdr:from>
    <xdr:to>
      <xdr:col>11</xdr:col>
      <xdr:colOff>428243</xdr:colOff>
      <xdr:row>42</xdr:row>
      <xdr:rowOff>110286</xdr:rowOff>
    </xdr:to>
    <xdr:sp macro="" textlink="" fLocksText="0">
      <xdr:nvSpPr>
        <xdr:cNvPr id="17" name="txt_PracticeFooter" descr="Practice footer">
          <a:extLst>
            <a:ext uri="{FF2B5EF4-FFF2-40B4-BE49-F238E27FC236}">
              <a16:creationId xmlns:a16="http://schemas.microsoft.com/office/drawing/2014/main" xmlns="" id="{61EDF991-89B8-4AB4-8FD1-F1774503C216}"/>
            </a:ext>
          </a:extLst>
        </xdr:cNvPr>
        <xdr:cNvSpPr txBox="1"/>
      </xdr:nvSpPr>
      <xdr:spPr>
        <a:xfrm>
          <a:off x="0" y="7443774"/>
          <a:ext cx="7781543" cy="66751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
            <a:ea typeface="Segoe UI" pitchFamily="34" charset="0"/>
            <a:cs typeface="Segoe UI Light" panose="020B0502040204020203" pitchFamily="34" charset="0"/>
          </a:endParaRPr>
        </a:p>
      </xdr:txBody>
    </xdr:sp>
    <xdr:clientData/>
  </xdr:twoCellAnchor>
  <xdr:twoCellAnchor editAs="absolute">
    <xdr:from>
      <xdr:col>4</xdr:col>
      <xdr:colOff>205739</xdr:colOff>
      <xdr:row>41</xdr:row>
      <xdr:rowOff>108762</xdr:rowOff>
    </xdr:from>
    <xdr:to>
      <xdr:col>6</xdr:col>
      <xdr:colOff>184403</xdr:colOff>
      <xdr:row>42</xdr:row>
      <xdr:rowOff>110286</xdr:rowOff>
    </xdr:to>
    <xdr:sp macro="" textlink="" fLocksText="0">
      <xdr:nvSpPr>
        <xdr:cNvPr id="18" name="txt_PracticeFeedback" descr="Feedback button, hyperlinked to web form">
          <a:hlinkClick xmlns:r="http://schemas.openxmlformats.org/officeDocument/2006/relationships" r:id="rId1" tooltip="Click to give us feedback on this tutorial"/>
          <a:extLst>
            <a:ext uri="{FF2B5EF4-FFF2-40B4-BE49-F238E27FC236}">
              <a16:creationId xmlns:a16="http://schemas.microsoft.com/office/drawing/2014/main" xmlns="" id="{61F02770-8AEB-4974-8B98-3338E4C6E3D1}"/>
            </a:ext>
          </a:extLst>
        </xdr:cNvPr>
        <xdr:cNvSpPr/>
      </xdr:nvSpPr>
      <xdr:spPr>
        <a:xfrm>
          <a:off x="3291839" y="7919262"/>
          <a:ext cx="1197864" cy="192024"/>
        </a:xfrm>
        <a:prstGeom prst="rect">
          <a:avLst/>
        </a:prstGeom>
        <a:solidFill>
          <a:schemeClr val="bg1">
            <a:lumMod val="85000"/>
          </a:schemeClr>
        </a:solidFill>
        <a:ln>
          <a:no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100" u="sng">
              <a:solidFill>
                <a:sysClr val="windowText" lastClr="000000"/>
              </a:solidFill>
              <a:latin typeface="Segoe UI" pitchFamily="34" charset="0"/>
              <a:ea typeface="Segoe UI" pitchFamily="34" charset="0"/>
              <a:cs typeface="Segoe UI" pitchFamily="34" charset="0"/>
            </a:rPr>
            <a:t>Feedback</a:t>
          </a:r>
        </a:p>
      </xdr:txBody>
    </xdr:sp>
    <xdr:clientData/>
  </xdr:twoCellAnchor>
  <xdr:twoCellAnchor editAs="absolute">
    <xdr:from>
      <xdr:col>9</xdr:col>
      <xdr:colOff>127000</xdr:colOff>
      <xdr:row>39</xdr:row>
      <xdr:rowOff>169722</xdr:rowOff>
    </xdr:from>
    <xdr:to>
      <xdr:col>11</xdr:col>
      <xdr:colOff>114808</xdr:colOff>
      <xdr:row>41</xdr:row>
      <xdr:rowOff>145338</xdr:rowOff>
    </xdr:to>
    <xdr:sp macro="" textlink="" fLocksText="0">
      <xdr:nvSpPr>
        <xdr:cNvPr id="19" name="txt_PracticeNext" descr="Next step button, hyperlinked to next sheet">
          <a:hlinkClick xmlns:r="http://schemas.openxmlformats.org/officeDocument/2006/relationships" r:id="rId2" tooltip="Click here to go to the next sheet"/>
          <a:extLst>
            <a:ext uri="{FF2B5EF4-FFF2-40B4-BE49-F238E27FC236}">
              <a16:creationId xmlns:a16="http://schemas.microsoft.com/office/drawing/2014/main" xmlns="" id="{3B2CFF58-1B36-4961-A076-B9F3CA93430D}"/>
            </a:ext>
          </a:extLst>
        </xdr:cNvPr>
        <xdr:cNvSpPr/>
      </xdr:nvSpPr>
      <xdr:spPr>
        <a:xfrm>
          <a:off x="6261100" y="7599222"/>
          <a:ext cx="1207008" cy="3566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0</xdr:col>
      <xdr:colOff>304800</xdr:colOff>
      <xdr:row>39</xdr:row>
      <xdr:rowOff>169722</xdr:rowOff>
    </xdr:from>
    <xdr:to>
      <xdr:col>2</xdr:col>
      <xdr:colOff>25908</xdr:colOff>
      <xdr:row>41</xdr:row>
      <xdr:rowOff>145338</xdr:rowOff>
    </xdr:to>
    <xdr:sp macro="" textlink="" fLocksText="0">
      <xdr:nvSpPr>
        <xdr:cNvPr id="20" name="txt_PracticePrevious" descr="Previous step button, hyperlinked to previous sheet">
          <a:hlinkClick xmlns:r="http://schemas.openxmlformats.org/officeDocument/2006/relationships" r:id="rId3" tooltip="Click here to go back to the previous sheet"/>
          <a:extLst>
            <a:ext uri="{FF2B5EF4-FFF2-40B4-BE49-F238E27FC236}">
              <a16:creationId xmlns:a16="http://schemas.microsoft.com/office/drawing/2014/main" xmlns="" id="{D5869889-16F8-4D56-9B0A-A0936E775D29}"/>
            </a:ext>
          </a:extLst>
        </xdr:cNvPr>
        <xdr:cNvSpPr/>
      </xdr:nvSpPr>
      <xdr:spPr>
        <a:xfrm flipH="1">
          <a:off x="304800" y="7599222"/>
          <a:ext cx="1207008" cy="3566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xdr:twoCellAnchor>
</xdr:wsDr>
</file>

<file path=xl/drawings/drawing16.xml><?xml version="1.0" encoding="utf-8"?>
<xdr:wsDr xmlns:xdr="http://schemas.openxmlformats.org/drawingml/2006/spreadsheetDrawing" xmlns:a="http://schemas.openxmlformats.org/drawingml/2006/main">
  <xdr:twoCellAnchor editAs="absolute">
    <xdr:from>
      <xdr:col>0</xdr:col>
      <xdr:colOff>0</xdr:colOff>
      <xdr:row>0</xdr:row>
      <xdr:rowOff>1</xdr:rowOff>
    </xdr:from>
    <xdr:to>
      <xdr:col>11</xdr:col>
      <xdr:colOff>174885</xdr:colOff>
      <xdr:row>35</xdr:row>
      <xdr:rowOff>173821</xdr:rowOff>
    </xdr:to>
    <xdr:grpSp>
      <xdr:nvGrpSpPr>
        <xdr:cNvPr id="2" name="grp_WalkMe">
          <a:extLst>
            <a:ext uri="{FF2B5EF4-FFF2-40B4-BE49-F238E27FC236}">
              <a16:creationId xmlns:a16="http://schemas.microsoft.com/office/drawing/2014/main" xmlns="" id="{D04239AE-849A-4879-AECB-4328A5C50AA6}"/>
            </a:ext>
          </a:extLst>
        </xdr:cNvPr>
        <xdr:cNvGrpSpPr/>
      </xdr:nvGrpSpPr>
      <xdr:grpSpPr>
        <a:xfrm>
          <a:off x="0" y="1"/>
          <a:ext cx="7766310" cy="6984195"/>
          <a:chOff x="0" y="0"/>
          <a:chExt cx="7796782" cy="7072294"/>
        </a:xfrm>
      </xdr:grpSpPr>
      <xdr:sp macro="" textlink="">
        <xdr:nvSpPr>
          <xdr:cNvPr id="3" name="txt_WalkMeHeader" descr="If you need to simplify the PivotTable, you can collapse the data for the second row field &quot;up&quot; and out of the way. ">
            <a:extLst>
              <a:ext uri="{FF2B5EF4-FFF2-40B4-BE49-F238E27FC236}">
                <a16:creationId xmlns:a16="http://schemas.microsoft.com/office/drawing/2014/main" xmlns="" id="{63BAA6A7-9D8C-466A-B5E6-57B6A2C429BC}"/>
              </a:ext>
            </a:extLst>
          </xdr:cNvPr>
          <xdr:cNvSpPr txBox="1"/>
        </xdr:nvSpPr>
        <xdr:spPr>
          <a:xfrm flipH="1">
            <a:off x="0" y="0"/>
            <a:ext cx="7796782" cy="78835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500" b="0" kern="1200" baseline="0">
                <a:solidFill>
                  <a:schemeClr val="dk1"/>
                </a:solidFill>
                <a:effectLst/>
                <a:latin typeface="Segoe UI Semibold" panose="020B0702040204020203" pitchFamily="34" charset="0"/>
                <a:ea typeface="+mn-ea"/>
                <a:cs typeface="Segoe UI Semibold" panose="020B0702040204020203" pitchFamily="34" charset="0"/>
              </a:rPr>
              <a:t>If you need to simplify the PivotTable, </a:t>
            </a:r>
            <a:r>
              <a:rPr lang="en-US" sz="1500" b="0" kern="1200" baseline="0">
                <a:solidFill>
                  <a:schemeClr val="dk1"/>
                </a:solidFill>
                <a:effectLst/>
                <a:latin typeface="Segoe UI Light" panose="020B0502040204020203" pitchFamily="34" charset="0"/>
                <a:ea typeface="+mn-ea"/>
                <a:cs typeface="Segoe UI Light" panose="020B0502040204020203" pitchFamily="34" charset="0"/>
              </a:rPr>
              <a:t>you can collapse the data for the second row field "up" and out of the way. </a:t>
            </a:r>
            <a:endParaRPr lang="en-US" sz="1500" baseline="0">
              <a:effectLst/>
              <a:latin typeface="Segoe UI Light" panose="020B0502040204020203" pitchFamily="34" charset="0"/>
              <a:cs typeface="Segoe UI Light" panose="020B0502040204020203" pitchFamily="34" charset="0"/>
            </a:endParaRPr>
          </a:p>
        </xdr:txBody>
      </xdr:sp>
      <xdr:sp macro="" textlink="">
        <xdr:nvSpPr>
          <xdr:cNvPr id="4" name="txt_WalkMeFooter">
            <a:extLst>
              <a:ext uri="{FF2B5EF4-FFF2-40B4-BE49-F238E27FC236}">
                <a16:creationId xmlns:a16="http://schemas.microsoft.com/office/drawing/2014/main" xmlns="" id="{DD3EA9D1-602D-4BA0-B350-2EB6D0C765ED}"/>
              </a:ext>
            </a:extLst>
          </xdr:cNvPr>
          <xdr:cNvSpPr txBox="1"/>
        </xdr:nvSpPr>
        <xdr:spPr>
          <a:xfrm>
            <a:off x="0" y="6393925"/>
            <a:ext cx="7789163" cy="678369"/>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
              <a:ea typeface="Segoe UI" pitchFamily="34" charset="0"/>
              <a:cs typeface="Segoe UI Light" panose="020B0502040204020203" pitchFamily="34" charset="0"/>
            </a:endParaRPr>
          </a:p>
        </xdr:txBody>
      </xdr:sp>
      <xdr:sp macro="" textlink="">
        <xdr:nvSpPr>
          <xdr:cNvPr id="5" name="txt_WalkMeNext" descr="Next">
            <a:hlinkClick xmlns:r="http://schemas.openxmlformats.org/officeDocument/2006/relationships" r:id="rId1" tooltip="Click here to go to the next sheet"/>
            <a:extLst>
              <a:ext uri="{FF2B5EF4-FFF2-40B4-BE49-F238E27FC236}">
                <a16:creationId xmlns:a16="http://schemas.microsoft.com/office/drawing/2014/main" xmlns="" id="{9BD4D293-2DAD-4AF1-A5E5-287318C083F6}"/>
              </a:ext>
            </a:extLst>
          </xdr:cNvPr>
          <xdr:cNvSpPr/>
        </xdr:nvSpPr>
        <xdr:spPr>
          <a:xfrm>
            <a:off x="6264910" y="6559717"/>
            <a:ext cx="1199684" cy="348690"/>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sp macro="" textlink="">
        <xdr:nvSpPr>
          <xdr:cNvPr id="6" name="txt_WalkMePrevious" descr="Previous">
            <a:hlinkClick xmlns:r="http://schemas.openxmlformats.org/officeDocument/2006/relationships" r:id="rId2" tooltip="Click here to go back to the previous sheet"/>
            <a:extLst>
              <a:ext uri="{FF2B5EF4-FFF2-40B4-BE49-F238E27FC236}">
                <a16:creationId xmlns:a16="http://schemas.microsoft.com/office/drawing/2014/main" xmlns="" id="{DF607877-27CB-4C0E-996D-88C067CF344A}"/>
              </a:ext>
            </a:extLst>
          </xdr:cNvPr>
          <xdr:cNvSpPr/>
        </xdr:nvSpPr>
        <xdr:spPr>
          <a:xfrm flipH="1">
            <a:off x="304800" y="6559717"/>
            <a:ext cx="1199684" cy="348690"/>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sp macro="" textlink="">
        <xdr:nvSpPr>
          <xdr:cNvPr id="7" name="txt_WalkMeFeedback" descr="Feedback">
            <a:hlinkClick xmlns:r="http://schemas.openxmlformats.org/officeDocument/2006/relationships" r:id="rId3" tooltip="Click to give us feedback on this tutorial"/>
            <a:extLst>
              <a:ext uri="{FF2B5EF4-FFF2-40B4-BE49-F238E27FC236}">
                <a16:creationId xmlns:a16="http://schemas.microsoft.com/office/drawing/2014/main" xmlns="" id="{942E522E-E24F-4541-8A26-C51E9F6A35D0}"/>
              </a:ext>
            </a:extLst>
          </xdr:cNvPr>
          <xdr:cNvSpPr/>
        </xdr:nvSpPr>
        <xdr:spPr>
          <a:xfrm>
            <a:off x="3299313" y="6869005"/>
            <a:ext cx="1198157" cy="203289"/>
          </a:xfrm>
          <a:prstGeom prst="rect">
            <a:avLst/>
          </a:prstGeom>
          <a:solidFill>
            <a:schemeClr val="bg1">
              <a:lumMod val="85000"/>
            </a:schemeClr>
          </a:solidFill>
          <a:ln>
            <a:no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100" u="sng">
                <a:solidFill>
                  <a:sysClr val="windowText" lastClr="000000"/>
                </a:solidFill>
                <a:latin typeface="Segoe UI" pitchFamily="34" charset="0"/>
                <a:ea typeface="Segoe UI" pitchFamily="34" charset="0"/>
                <a:cs typeface="Segoe UI" pitchFamily="34" charset="0"/>
              </a:rPr>
              <a:t>Feedback</a:t>
            </a:r>
          </a:p>
        </xdr:txBody>
      </xdr:sp>
    </xdr:grpSp>
    <xdr:clientData/>
  </xdr:twoCellAnchor>
  <xdr:twoCellAnchor editAs="absolute">
    <xdr:from>
      <xdr:col>2</xdr:col>
      <xdr:colOff>358141</xdr:colOff>
      <xdr:row>7</xdr:row>
      <xdr:rowOff>132345</xdr:rowOff>
    </xdr:from>
    <xdr:to>
      <xdr:col>5</xdr:col>
      <xdr:colOff>1125280</xdr:colOff>
      <xdr:row>14</xdr:row>
      <xdr:rowOff>56696</xdr:rowOff>
    </xdr:to>
    <xdr:sp macro="" textlink="">
      <xdr:nvSpPr>
        <xdr:cNvPr id="8" name="shp_ArrowCurved">
          <a:extLst>
            <a:ext uri="{FF2B5EF4-FFF2-40B4-BE49-F238E27FC236}">
              <a16:creationId xmlns:a16="http://schemas.microsoft.com/office/drawing/2014/main" xmlns="" id="{4989D1F3-5CEE-4D37-8158-5129DD35A9C2}"/>
            </a:ext>
          </a:extLst>
        </xdr:cNvPr>
        <xdr:cNvSpPr/>
      </xdr:nvSpPr>
      <xdr:spPr>
        <a:xfrm rot="6868305" flipV="1">
          <a:off x="2198760" y="892051"/>
          <a:ext cx="1353101" cy="2595939"/>
        </a:xfrm>
        <a:prstGeom prst="arc">
          <a:avLst>
            <a:gd name="adj1" fmla="val 12182844"/>
            <a:gd name="adj2" fmla="val 13715140"/>
          </a:avLst>
        </a:prstGeom>
        <a:ln w="19050">
          <a:solidFill>
            <a:srgbClr val="F4B183"/>
          </a:solidFill>
          <a:headEnd type="arrow" w="med" len="med"/>
          <a:tailEnd type="none" w="med" len="med"/>
        </a:ln>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lgn="l"/>
          <a:endParaRPr lang="en-US" sz="1100">
            <a:solidFill>
              <a:schemeClr val="tx1"/>
            </a:solidFill>
            <a:latin typeface="+mn-lt"/>
            <a:ea typeface="+mn-ea"/>
            <a:cs typeface="+mn-cs"/>
          </a:endParaRPr>
        </a:p>
      </xdr:txBody>
    </xdr:sp>
    <xdr:clientData/>
  </xdr:twoCellAnchor>
  <xdr:twoCellAnchor>
    <xdr:from>
      <xdr:col>1</xdr:col>
      <xdr:colOff>244771</xdr:colOff>
      <xdr:row>6</xdr:row>
      <xdr:rowOff>14953</xdr:rowOff>
    </xdr:from>
    <xdr:to>
      <xdr:col>4</xdr:col>
      <xdr:colOff>110535</xdr:colOff>
      <xdr:row>13</xdr:row>
      <xdr:rowOff>95246</xdr:rowOff>
    </xdr:to>
    <xdr:grpSp>
      <xdr:nvGrpSpPr>
        <xdr:cNvPr id="9" name="TRY THIS">
          <a:extLst>
            <a:ext uri="{FF2B5EF4-FFF2-40B4-BE49-F238E27FC236}">
              <a16:creationId xmlns:a16="http://schemas.microsoft.com/office/drawing/2014/main" xmlns="" id="{B3944B66-B77B-4AA4-AC72-1130B2B4A461}"/>
            </a:ext>
          </a:extLst>
        </xdr:cNvPr>
        <xdr:cNvGrpSpPr/>
      </xdr:nvGrpSpPr>
      <xdr:grpSpPr>
        <a:xfrm>
          <a:off x="854371" y="1205578"/>
          <a:ext cx="1694564" cy="1509043"/>
          <a:chOff x="854371" y="1157953"/>
          <a:chExt cx="1694564" cy="1509043"/>
        </a:xfrm>
      </xdr:grpSpPr>
      <xdr:sp macro="" textlink="">
        <xdr:nvSpPr>
          <xdr:cNvPr id="10" name="Experiment Step" descr="TRY THIS&#10;Click the minus sign to collapse Dad's data &quot;up&quot; and out of the way. Then click the plus sign  to bring it back again.">
            <a:extLst>
              <a:ext uri="{FF2B5EF4-FFF2-40B4-BE49-F238E27FC236}">
                <a16:creationId xmlns:a16="http://schemas.microsoft.com/office/drawing/2014/main" xmlns="" id="{B0016E55-46A3-4B56-B493-1E28D3975016}"/>
              </a:ext>
            </a:extLst>
          </xdr:cNvPr>
          <xdr:cNvSpPr txBox="1"/>
        </xdr:nvSpPr>
        <xdr:spPr>
          <a:xfrm>
            <a:off x="1234763" y="1161292"/>
            <a:ext cx="1314172" cy="15057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Calibri" panose="020F0502020204030204" pitchFamily="34" charset="0"/>
              </a:rPr>
              <a:t>TRY THIS</a:t>
            </a:r>
            <a:r>
              <a:rPr lang="en-US" sz="1100" b="1" kern="0">
                <a:solidFill>
                  <a:srgbClr val="ED7D31">
                    <a:lumMod val="60000"/>
                    <a:lumOff val="40000"/>
                  </a:srgbClr>
                </a:solidFill>
                <a:latin typeface="Calibri" panose="020F0502020204030204" pitchFamily="34" charset="0"/>
                <a:ea typeface="Segoe UI" pitchFamily="34" charset="0"/>
                <a:cs typeface="Calibri" panose="020F0502020204030204" pitchFamily="34" charset="0"/>
              </a:rPr>
              <a:t>
</a:t>
            </a:r>
            <a:r>
              <a:rPr lang="en-US" sz="1100" b="0" kern="0">
                <a:solidFill>
                  <a:sysClr val="windowText" lastClr="000000"/>
                </a:solidFill>
                <a:latin typeface="Calibri" panose="020F0502020204030204" pitchFamily="34" charset="0"/>
                <a:ea typeface="Segoe UI" pitchFamily="34" charset="0"/>
                <a:cs typeface="Calibri" panose="020F0502020204030204" pitchFamily="34" charset="0"/>
              </a:rPr>
              <a:t>Click the minus sign to collapse Dad's data "up" and out of the way. Then click the plus sign  to bring it back again.</a:t>
            </a:r>
            <a:endParaRPr lang="en-US" sz="1100" b="0" kern="0" baseline="0">
              <a:solidFill>
                <a:sysClr val="windowText" lastClr="000000"/>
              </a:solidFill>
              <a:latin typeface="Calibri" panose="020F0502020204030204" pitchFamily="34" charset="0"/>
              <a:ea typeface="Segoe UI" pitchFamily="34" charset="0"/>
              <a:cs typeface="Calibri" panose="020F0502020204030204" pitchFamily="34" charset="0"/>
            </a:endParaRPr>
          </a:p>
        </xdr:txBody>
      </xdr:sp>
      <xdr:pic>
        <xdr:nvPicPr>
          <xdr:cNvPr id="11" name="Experiment Beaker">
            <a:extLst>
              <a:ext uri="{FF2B5EF4-FFF2-40B4-BE49-F238E27FC236}">
                <a16:creationId xmlns:a16="http://schemas.microsoft.com/office/drawing/2014/main" xmlns="" id="{F7859C51-606F-499A-BD4E-8EBE23AB40C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xmlns="" r:embed="rId5"/>
              </a:ext>
            </a:extLst>
          </a:blip>
          <a:stretch>
            <a:fillRect/>
          </a:stretch>
        </xdr:blipFill>
        <xdr:spPr>
          <a:xfrm>
            <a:off x="854371" y="1157953"/>
            <a:ext cx="390041" cy="390040"/>
          </a:xfrm>
          <a:prstGeom prst="rect">
            <a:avLst/>
          </a:prstGeom>
        </xdr:spPr>
      </xdr:pic>
    </xdr:grpSp>
    <xdr:clientData/>
  </xdr:twoCellAnchor>
</xdr:wsDr>
</file>

<file path=xl/drawings/drawing17.xml><?xml version="1.0" encoding="utf-8"?>
<xdr:wsDr xmlns:xdr="http://schemas.openxmlformats.org/drawingml/2006/spreadsheetDrawing" xmlns:a="http://schemas.openxmlformats.org/drawingml/2006/main">
  <xdr:twoCellAnchor editAs="absolute">
    <xdr:from>
      <xdr:col>0</xdr:col>
      <xdr:colOff>0</xdr:colOff>
      <xdr:row>0</xdr:row>
      <xdr:rowOff>1</xdr:rowOff>
    </xdr:from>
    <xdr:to>
      <xdr:col>9</xdr:col>
      <xdr:colOff>634943</xdr:colOff>
      <xdr:row>35</xdr:row>
      <xdr:rowOff>168106</xdr:rowOff>
    </xdr:to>
    <xdr:grpSp>
      <xdr:nvGrpSpPr>
        <xdr:cNvPr id="2" name="grp_WalkMe">
          <a:extLst>
            <a:ext uri="{FF2B5EF4-FFF2-40B4-BE49-F238E27FC236}">
              <a16:creationId xmlns:a16="http://schemas.microsoft.com/office/drawing/2014/main" xmlns="" id="{0AAF3A41-6306-4C2C-A170-766474D6D124}"/>
            </a:ext>
          </a:extLst>
        </xdr:cNvPr>
        <xdr:cNvGrpSpPr/>
      </xdr:nvGrpSpPr>
      <xdr:grpSpPr>
        <a:xfrm>
          <a:off x="0" y="1"/>
          <a:ext cx="7816793" cy="6978480"/>
          <a:chOff x="0" y="0"/>
          <a:chExt cx="7796782" cy="7072294"/>
        </a:xfrm>
      </xdr:grpSpPr>
      <xdr:sp macro="" textlink="">
        <xdr:nvSpPr>
          <xdr:cNvPr id="3" name="txt_WalkMeHeader" descr="You can also collapse or expand the entire second row field, to simplify the PivotTable even more.">
            <a:extLst>
              <a:ext uri="{FF2B5EF4-FFF2-40B4-BE49-F238E27FC236}">
                <a16:creationId xmlns:a16="http://schemas.microsoft.com/office/drawing/2014/main" xmlns="" id="{D4C257B5-8DD3-4535-BE45-FCB39EAE134D}"/>
              </a:ext>
            </a:extLst>
          </xdr:cNvPr>
          <xdr:cNvSpPr txBox="1"/>
        </xdr:nvSpPr>
        <xdr:spPr>
          <a:xfrm flipH="1">
            <a:off x="0" y="0"/>
            <a:ext cx="7796782" cy="78835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500" b="0" kern="1200" baseline="0">
                <a:solidFill>
                  <a:schemeClr val="dk1"/>
                </a:solidFill>
                <a:effectLst/>
                <a:latin typeface="Segoe UI Semibold" panose="020B0702040204020203" pitchFamily="34" charset="0"/>
                <a:ea typeface="+mn-ea"/>
                <a:cs typeface="Segoe UI Semibold" panose="020B0702040204020203" pitchFamily="34" charset="0"/>
              </a:rPr>
              <a:t>You can also collapse or expand the entire second row field</a:t>
            </a:r>
            <a:r>
              <a:rPr lang="en-US" sz="1500" b="0" kern="1200" baseline="0">
                <a:solidFill>
                  <a:schemeClr val="dk1"/>
                </a:solidFill>
                <a:effectLst/>
                <a:latin typeface="Segoe UI Light" panose="020B0502040204020203" pitchFamily="34" charset="0"/>
                <a:ea typeface="+mn-ea"/>
                <a:cs typeface="Segoe UI Light" panose="020B0502040204020203" pitchFamily="34" charset="0"/>
              </a:rPr>
              <a:t>, to simplify the PivotTable even more.</a:t>
            </a:r>
            <a:endParaRPr lang="en-US" sz="1500" baseline="0">
              <a:effectLst/>
              <a:latin typeface="Segoe UI Light" panose="020B0502040204020203" pitchFamily="34" charset="0"/>
              <a:cs typeface="Segoe UI Light" panose="020B0502040204020203" pitchFamily="34" charset="0"/>
            </a:endParaRPr>
          </a:p>
        </xdr:txBody>
      </xdr:sp>
      <xdr:sp macro="" textlink="">
        <xdr:nvSpPr>
          <xdr:cNvPr id="4" name="txt_WalkMeFooter">
            <a:extLst>
              <a:ext uri="{FF2B5EF4-FFF2-40B4-BE49-F238E27FC236}">
                <a16:creationId xmlns:a16="http://schemas.microsoft.com/office/drawing/2014/main" xmlns="" id="{F7252FBD-A0E8-4288-9E2B-BF48DD7211F3}"/>
              </a:ext>
            </a:extLst>
          </xdr:cNvPr>
          <xdr:cNvSpPr txBox="1"/>
        </xdr:nvSpPr>
        <xdr:spPr>
          <a:xfrm>
            <a:off x="0" y="6393925"/>
            <a:ext cx="7789163" cy="678369"/>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
              <a:ea typeface="Segoe UI" pitchFamily="34" charset="0"/>
              <a:cs typeface="Segoe UI Light" panose="020B0502040204020203" pitchFamily="34" charset="0"/>
            </a:endParaRPr>
          </a:p>
        </xdr:txBody>
      </xdr:sp>
      <xdr:sp macro="" textlink="">
        <xdr:nvSpPr>
          <xdr:cNvPr id="5" name="txt_WalkMeNext" descr="Next">
            <a:hlinkClick xmlns:r="http://schemas.openxmlformats.org/officeDocument/2006/relationships" r:id="rId1" tooltip="Click here to go to the next sheet"/>
            <a:extLst>
              <a:ext uri="{FF2B5EF4-FFF2-40B4-BE49-F238E27FC236}">
                <a16:creationId xmlns:a16="http://schemas.microsoft.com/office/drawing/2014/main" xmlns="" id="{3948D346-727E-4348-AF11-3025C3022329}"/>
              </a:ext>
            </a:extLst>
          </xdr:cNvPr>
          <xdr:cNvSpPr/>
        </xdr:nvSpPr>
        <xdr:spPr>
          <a:xfrm>
            <a:off x="6264910" y="6559717"/>
            <a:ext cx="1199684" cy="348690"/>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sp macro="" textlink="">
        <xdr:nvSpPr>
          <xdr:cNvPr id="6" name="txt_WalkMePrevious" descr="Previous">
            <a:hlinkClick xmlns:r="http://schemas.openxmlformats.org/officeDocument/2006/relationships" r:id="rId2" tooltip="Click here to go back to the previous sheet"/>
            <a:extLst>
              <a:ext uri="{FF2B5EF4-FFF2-40B4-BE49-F238E27FC236}">
                <a16:creationId xmlns:a16="http://schemas.microsoft.com/office/drawing/2014/main" xmlns="" id="{F6D65CE6-26DC-40AE-B45C-C6F6466B53B5}"/>
              </a:ext>
            </a:extLst>
          </xdr:cNvPr>
          <xdr:cNvSpPr/>
        </xdr:nvSpPr>
        <xdr:spPr>
          <a:xfrm flipH="1">
            <a:off x="304800" y="6559717"/>
            <a:ext cx="1199684" cy="348690"/>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sp macro="" textlink="">
        <xdr:nvSpPr>
          <xdr:cNvPr id="7" name="txt_WalkMeFeedback" descr="Feedback">
            <a:hlinkClick xmlns:r="http://schemas.openxmlformats.org/officeDocument/2006/relationships" r:id="rId3" tooltip="Click to give us feedback on this tutorial"/>
            <a:extLst>
              <a:ext uri="{FF2B5EF4-FFF2-40B4-BE49-F238E27FC236}">
                <a16:creationId xmlns:a16="http://schemas.microsoft.com/office/drawing/2014/main" xmlns="" id="{3D09B6A2-76FE-49C5-BCE5-10544D0088DE}"/>
              </a:ext>
            </a:extLst>
          </xdr:cNvPr>
          <xdr:cNvSpPr/>
        </xdr:nvSpPr>
        <xdr:spPr>
          <a:xfrm>
            <a:off x="3299313" y="6869005"/>
            <a:ext cx="1198157" cy="203289"/>
          </a:xfrm>
          <a:prstGeom prst="rect">
            <a:avLst/>
          </a:prstGeom>
          <a:solidFill>
            <a:schemeClr val="bg1">
              <a:lumMod val="85000"/>
            </a:schemeClr>
          </a:solidFill>
          <a:ln>
            <a:no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100" u="sng">
                <a:solidFill>
                  <a:sysClr val="windowText" lastClr="000000"/>
                </a:solidFill>
                <a:latin typeface="Segoe UI" pitchFamily="34" charset="0"/>
                <a:ea typeface="Segoe UI" pitchFamily="34" charset="0"/>
                <a:cs typeface="Segoe UI" pitchFamily="34" charset="0"/>
              </a:rPr>
              <a:t>Feedback</a:t>
            </a:r>
          </a:p>
        </xdr:txBody>
      </xdr:sp>
    </xdr:grpSp>
    <xdr:clientData/>
  </xdr:twoCellAnchor>
  <xdr:twoCellAnchor editAs="absolute">
    <xdr:from>
      <xdr:col>2</xdr:col>
      <xdr:colOff>407671</xdr:colOff>
      <xdr:row>7</xdr:row>
      <xdr:rowOff>130440</xdr:rowOff>
    </xdr:from>
    <xdr:to>
      <xdr:col>5</xdr:col>
      <xdr:colOff>1174810</xdr:colOff>
      <xdr:row>14</xdr:row>
      <xdr:rowOff>22406</xdr:rowOff>
    </xdr:to>
    <xdr:sp macro="" textlink="">
      <xdr:nvSpPr>
        <xdr:cNvPr id="8" name="shp_ArrowCurved">
          <a:extLst>
            <a:ext uri="{FF2B5EF4-FFF2-40B4-BE49-F238E27FC236}">
              <a16:creationId xmlns:a16="http://schemas.microsoft.com/office/drawing/2014/main" xmlns="" id="{C0010A82-48DB-4D21-AAC7-FDC8A1EE0619}"/>
            </a:ext>
          </a:extLst>
        </xdr:cNvPr>
        <xdr:cNvSpPr/>
      </xdr:nvSpPr>
      <xdr:spPr>
        <a:xfrm rot="6868305" flipV="1">
          <a:off x="2293058" y="873953"/>
          <a:ext cx="1320716" cy="2595939"/>
        </a:xfrm>
        <a:prstGeom prst="arc">
          <a:avLst>
            <a:gd name="adj1" fmla="val 12182844"/>
            <a:gd name="adj2" fmla="val 13715140"/>
          </a:avLst>
        </a:prstGeom>
        <a:ln w="19050">
          <a:solidFill>
            <a:srgbClr val="F4B183"/>
          </a:solidFill>
          <a:headEnd type="arrow" w="med" len="med"/>
          <a:tailEnd type="none" w="med" len="med"/>
        </a:ln>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lgn="l"/>
          <a:endParaRPr lang="en-US" sz="1100">
            <a:solidFill>
              <a:schemeClr val="tx1"/>
            </a:solidFill>
            <a:latin typeface="+mn-lt"/>
            <a:ea typeface="+mn-ea"/>
            <a:cs typeface="+mn-cs"/>
          </a:endParaRPr>
        </a:p>
      </xdr:txBody>
    </xdr:sp>
    <xdr:clientData/>
  </xdr:twoCellAnchor>
  <xdr:twoCellAnchor editAs="absolute">
    <xdr:from>
      <xdr:col>0</xdr:col>
      <xdr:colOff>615495</xdr:colOff>
      <xdr:row>5</xdr:row>
      <xdr:rowOff>212606</xdr:rowOff>
    </xdr:from>
    <xdr:to>
      <xdr:col>4</xdr:col>
      <xdr:colOff>135251</xdr:colOff>
      <xdr:row>10</xdr:row>
      <xdr:rowOff>163207</xdr:rowOff>
    </xdr:to>
    <xdr:grpSp>
      <xdr:nvGrpSpPr>
        <xdr:cNvPr id="9" name="EXPERIMENT">
          <a:extLst>
            <a:ext uri="{FF2B5EF4-FFF2-40B4-BE49-F238E27FC236}">
              <a16:creationId xmlns:a16="http://schemas.microsoft.com/office/drawing/2014/main" xmlns="" id="{040B352E-1578-4F47-8FC8-32337F65CC4B}"/>
            </a:ext>
          </a:extLst>
        </xdr:cNvPr>
        <xdr:cNvGrpSpPr/>
      </xdr:nvGrpSpPr>
      <xdr:grpSpPr>
        <a:xfrm>
          <a:off x="615495" y="1165106"/>
          <a:ext cx="1986731" cy="1045976"/>
          <a:chOff x="8852603" y="8270500"/>
          <a:chExt cx="2134283" cy="963655"/>
        </a:xfrm>
      </xdr:grpSpPr>
      <xdr:sp macro="" textlink="">
        <xdr:nvSpPr>
          <xdr:cNvPr id="10" name="Experiment Step" descr="HERE'S THE KEY&#10;Right-click Dad, and then click Expand/Collapse &gt; Collapse Entire Field. &#10;&#10;To bring back the data, do that again but click Expand Entire Field.">
            <a:extLst>
              <a:ext uri="{FF2B5EF4-FFF2-40B4-BE49-F238E27FC236}">
                <a16:creationId xmlns:a16="http://schemas.microsoft.com/office/drawing/2014/main" xmlns="" id="{D95E91F8-5534-4E03-99DB-463EA0DD4681}"/>
              </a:ext>
            </a:extLst>
          </xdr:cNvPr>
          <xdr:cNvSpPr txBox="1"/>
        </xdr:nvSpPr>
        <xdr:spPr>
          <a:xfrm>
            <a:off x="9134489" y="8270500"/>
            <a:ext cx="1852397" cy="9636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Calibri" panose="020F0502020204030204" pitchFamily="34" charset="0"/>
              </a:rPr>
              <a:t>HERE'S THE KEY</a:t>
            </a:r>
            <a:r>
              <a:rPr lang="en-US" sz="1100" b="1" kern="0">
                <a:solidFill>
                  <a:srgbClr val="ED7D31">
                    <a:lumMod val="60000"/>
                    <a:lumOff val="40000"/>
                  </a:srgbClr>
                </a:solidFill>
                <a:latin typeface="Calibri" panose="020F0502020204030204" pitchFamily="34" charset="0"/>
                <a:ea typeface="Segoe UI" pitchFamily="34" charset="0"/>
                <a:cs typeface="Calibri" panose="020F0502020204030204" pitchFamily="34" charset="0"/>
              </a:rPr>
              <a:t>
</a:t>
            </a:r>
            <a:r>
              <a:rPr lang="en-US" sz="1100" b="0" kern="0">
                <a:solidFill>
                  <a:sysClr val="windowText" lastClr="000000"/>
                </a:solidFill>
                <a:latin typeface="Calibri" panose="020F0502020204030204" pitchFamily="34" charset="0"/>
                <a:ea typeface="Segoe UI" pitchFamily="34" charset="0"/>
                <a:cs typeface="Calibri" panose="020F0502020204030204" pitchFamily="34" charset="0"/>
              </a:rPr>
              <a:t>Right-click Dad, and then click </a:t>
            </a:r>
            <a:r>
              <a:rPr lang="en-US" sz="1100" b="1" kern="0">
                <a:solidFill>
                  <a:sysClr val="windowText" lastClr="000000"/>
                </a:solidFill>
                <a:latin typeface="Calibri" panose="020F0502020204030204" pitchFamily="34" charset="0"/>
                <a:ea typeface="Segoe UI" pitchFamily="34" charset="0"/>
                <a:cs typeface="Calibri" panose="020F0502020204030204" pitchFamily="34" charset="0"/>
              </a:rPr>
              <a:t>Expand/Collapse </a:t>
            </a:r>
            <a:r>
              <a:rPr lang="en-US" sz="1100" b="0" kern="0">
                <a:solidFill>
                  <a:sysClr val="windowText" lastClr="000000"/>
                </a:solidFill>
                <a:latin typeface="Calibri" panose="020F0502020204030204" pitchFamily="34" charset="0"/>
                <a:ea typeface="Segoe UI" pitchFamily="34" charset="0"/>
                <a:cs typeface="Calibri" panose="020F0502020204030204" pitchFamily="34" charset="0"/>
              </a:rPr>
              <a:t>&gt; </a:t>
            </a:r>
            <a:r>
              <a:rPr lang="en-US" sz="1100" b="1" kern="0">
                <a:solidFill>
                  <a:sysClr val="windowText" lastClr="000000"/>
                </a:solidFill>
                <a:latin typeface="Calibri" panose="020F0502020204030204" pitchFamily="34" charset="0"/>
                <a:ea typeface="Segoe UI" pitchFamily="34" charset="0"/>
                <a:cs typeface="Calibri" panose="020F0502020204030204" pitchFamily="34" charset="0"/>
              </a:rPr>
              <a:t>Collapse Entire Field</a:t>
            </a:r>
            <a:r>
              <a:rPr lang="en-US" sz="1100" b="0" kern="0">
                <a:solidFill>
                  <a:sysClr val="windowText" lastClr="000000"/>
                </a:solidFill>
                <a:latin typeface="Calibri" panose="020F0502020204030204" pitchFamily="34" charset="0"/>
                <a:ea typeface="Segoe UI" pitchFamily="34" charset="0"/>
                <a:cs typeface="Calibri" panose="020F0502020204030204" pitchFamily="34" charset="0"/>
              </a:rPr>
              <a:t>. </a:t>
            </a:r>
            <a:r>
              <a:rPr lang="en-US" sz="1100" b="1" kern="0">
                <a:solidFill>
                  <a:srgbClr val="ED7D31">
                    <a:lumMod val="60000"/>
                    <a:lumOff val="40000"/>
                  </a:srgbClr>
                </a:solidFill>
                <a:latin typeface="Calibri" panose="020F0502020204030204" pitchFamily="34" charset="0"/>
                <a:ea typeface="Segoe UI" pitchFamily="34" charset="0"/>
                <a:cs typeface="Calibri" panose="020F0502020204030204" pitchFamily="34" charset="0"/>
              </a:rPr>
              <a:t>
</a:t>
            </a:r>
            <a:r>
              <a:rPr lang="en-US" sz="1100" b="0" kern="0">
                <a:solidFill>
                  <a:sysClr val="windowText" lastClr="000000"/>
                </a:solidFill>
                <a:latin typeface="Calibri" panose="020F0502020204030204" pitchFamily="34" charset="0"/>
                <a:ea typeface="Segoe UI" pitchFamily="34" charset="0"/>
                <a:cs typeface="Calibri" panose="020F0502020204030204" pitchFamily="34" charset="0"/>
              </a:rPr>
              <a:t>
To bring back the data, do that again but click </a:t>
            </a:r>
            <a:r>
              <a:rPr lang="en-US" sz="1100" b="1" kern="0">
                <a:solidFill>
                  <a:sysClr val="windowText" lastClr="000000"/>
                </a:solidFill>
                <a:latin typeface="Calibri" panose="020F0502020204030204" pitchFamily="34" charset="0"/>
                <a:ea typeface="Segoe UI" pitchFamily="34" charset="0"/>
                <a:cs typeface="Calibri" panose="020F0502020204030204" pitchFamily="34" charset="0"/>
              </a:rPr>
              <a:t>Expand Entire Field</a:t>
            </a:r>
            <a:r>
              <a:rPr lang="en-US" sz="1100" b="0" kern="0">
                <a:solidFill>
                  <a:sysClr val="windowText" lastClr="000000"/>
                </a:solidFill>
                <a:latin typeface="Calibri" panose="020F0502020204030204" pitchFamily="34" charset="0"/>
                <a:ea typeface="Segoe UI" pitchFamily="34" charset="0"/>
                <a:cs typeface="Calibri" panose="020F0502020204030204" pitchFamily="34" charset="0"/>
              </a:rPr>
              <a:t>.</a:t>
            </a:r>
            <a:endParaRPr lang="en-US" sz="1100" b="0" kern="0" baseline="0">
              <a:solidFill>
                <a:sysClr val="windowText" lastClr="000000"/>
              </a:solidFill>
              <a:latin typeface="Calibri" panose="020F0502020204030204" pitchFamily="34" charset="0"/>
              <a:ea typeface="Segoe UI" pitchFamily="34" charset="0"/>
              <a:cs typeface="Calibri" panose="020F0502020204030204" pitchFamily="34" charset="0"/>
            </a:endParaRPr>
          </a:p>
        </xdr:txBody>
      </xdr:sp>
      <xdr:pic>
        <xdr:nvPicPr>
          <xdr:cNvPr id="11" name="Experiment Beaker">
            <a:extLst>
              <a:ext uri="{FF2B5EF4-FFF2-40B4-BE49-F238E27FC236}">
                <a16:creationId xmlns:a16="http://schemas.microsoft.com/office/drawing/2014/main" xmlns="" id="{4898EC29-CC59-43AD-92CB-622CC34E6FE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xmlns="" r:embed="rId5"/>
              </a:ext>
            </a:extLst>
          </a:blip>
          <a:stretch>
            <a:fillRect/>
          </a:stretch>
        </xdr:blipFill>
        <xdr:spPr>
          <a:xfrm rot="5400000">
            <a:off x="8883442" y="8277385"/>
            <a:ext cx="371473" cy="433152"/>
          </a:xfrm>
          <a:prstGeom prst="rect">
            <a:avLst/>
          </a:prstGeom>
        </xdr:spPr>
      </xdr:pic>
    </xdr:grpSp>
    <xdr:clientData/>
  </xdr:twoCellAnchor>
</xdr:wsDr>
</file>

<file path=xl/drawings/drawing18.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10</xdr:col>
      <xdr:colOff>490156</xdr:colOff>
      <xdr:row>22</xdr:row>
      <xdr:rowOff>225069</xdr:rowOff>
    </xdr:to>
    <xdr:grpSp>
      <xdr:nvGrpSpPr>
        <xdr:cNvPr id="2" name="grp_WalkMe">
          <a:extLst>
            <a:ext uri="{FF2B5EF4-FFF2-40B4-BE49-F238E27FC236}">
              <a16:creationId xmlns:a16="http://schemas.microsoft.com/office/drawing/2014/main" xmlns="" id="{228E74BD-508C-47CA-9143-FC8B437676FC}"/>
            </a:ext>
          </a:extLst>
        </xdr:cNvPr>
        <xdr:cNvGrpSpPr/>
      </xdr:nvGrpSpPr>
      <xdr:grpSpPr>
        <a:xfrm>
          <a:off x="0" y="0"/>
          <a:ext cx="7767256" cy="4549419"/>
          <a:chOff x="0" y="0"/>
          <a:chExt cx="7781543" cy="4721011"/>
        </a:xfrm>
      </xdr:grpSpPr>
      <xdr:sp macro="" textlink="">
        <xdr:nvSpPr>
          <xdr:cNvPr id="3" name="txt_WalkMeHeader" descr="You can also have more than one column field. They can also be collapsed or expanded.">
            <a:extLst>
              <a:ext uri="{FF2B5EF4-FFF2-40B4-BE49-F238E27FC236}">
                <a16:creationId xmlns:a16="http://schemas.microsoft.com/office/drawing/2014/main" xmlns="" id="{687B42ED-31E4-49D0-AEDE-1A8A2222D47B}"/>
              </a:ext>
            </a:extLst>
          </xdr:cNvPr>
          <xdr:cNvSpPr txBox="1"/>
        </xdr:nvSpPr>
        <xdr:spPr>
          <a:xfrm flipH="1">
            <a:off x="0" y="0"/>
            <a:ext cx="7781543"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500" b="0" kern="1200" baseline="0">
                <a:solidFill>
                  <a:schemeClr val="dk1"/>
                </a:solidFill>
                <a:effectLst/>
                <a:latin typeface="Segoe UI Semibold" panose="020B0702040204020203" pitchFamily="34" charset="0"/>
                <a:ea typeface="+mn-ea"/>
                <a:cs typeface="Segoe UI Semibold" panose="020B0702040204020203" pitchFamily="34" charset="0"/>
              </a:rPr>
              <a:t>You can also have more than one column field. </a:t>
            </a:r>
            <a:r>
              <a:rPr lang="en-US" sz="1500" b="0" kern="1200" baseline="0">
                <a:solidFill>
                  <a:schemeClr val="dk1"/>
                </a:solidFill>
                <a:effectLst/>
                <a:latin typeface="Segoe UI Light" panose="020B0502040204020203" pitchFamily="34" charset="0"/>
                <a:ea typeface="+mn-ea"/>
                <a:cs typeface="Segoe UI Light" panose="020B0502040204020203" pitchFamily="34" charset="0"/>
              </a:rPr>
              <a:t>And those column fields can also be collapsed or expanded.</a:t>
            </a:r>
          </a:p>
        </xdr:txBody>
      </xdr:sp>
      <xdr:sp macro="" textlink="">
        <xdr:nvSpPr>
          <xdr:cNvPr id="11" name="txt_WalkMeFooter">
            <a:extLst>
              <a:ext uri="{FF2B5EF4-FFF2-40B4-BE49-F238E27FC236}">
                <a16:creationId xmlns:a16="http://schemas.microsoft.com/office/drawing/2014/main" xmlns="" id="{0997C406-7E2E-4094-B2D1-FD3E94728F81}"/>
              </a:ext>
            </a:extLst>
          </xdr:cNvPr>
          <xdr:cNvSpPr txBox="1"/>
        </xdr:nvSpPr>
        <xdr:spPr>
          <a:xfrm>
            <a:off x="0" y="4053500"/>
            <a:ext cx="7781543" cy="667511"/>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
              <a:ea typeface="Segoe UI" pitchFamily="34" charset="0"/>
              <a:cs typeface="Segoe UI Light" panose="020B0502040204020203" pitchFamily="34" charset="0"/>
            </a:endParaRPr>
          </a:p>
        </xdr:txBody>
      </xdr:sp>
      <xdr:sp macro="" textlink="">
        <xdr:nvSpPr>
          <xdr:cNvPr id="12" name="txt_WalkMeNext" descr="Next step button, hyperlinked to next sheet">
            <a:hlinkClick xmlns:r="http://schemas.openxmlformats.org/officeDocument/2006/relationships" r:id="rId1" tooltip="Click here to go to the next sheet"/>
            <a:extLst>
              <a:ext uri="{FF2B5EF4-FFF2-40B4-BE49-F238E27FC236}">
                <a16:creationId xmlns:a16="http://schemas.microsoft.com/office/drawing/2014/main" xmlns="" id="{9C4AC8DC-A463-4BA1-B0B6-B6CCE60F644A}"/>
              </a:ext>
            </a:extLst>
          </xdr:cNvPr>
          <xdr:cNvSpPr/>
        </xdr:nvSpPr>
        <xdr:spPr>
          <a:xfrm>
            <a:off x="6261100" y="4208946"/>
            <a:ext cx="1207008" cy="3566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sp macro="" textlink="">
        <xdr:nvSpPr>
          <xdr:cNvPr id="13" name="txt_WalkMePrevious" descr="Previous step button, hyperlinked to previous sheet">
            <a:hlinkClick xmlns:r="http://schemas.openxmlformats.org/officeDocument/2006/relationships" r:id="rId2" tooltip="Click here to go back to the previous sheet"/>
            <a:extLst>
              <a:ext uri="{FF2B5EF4-FFF2-40B4-BE49-F238E27FC236}">
                <a16:creationId xmlns:a16="http://schemas.microsoft.com/office/drawing/2014/main" xmlns="" id="{94CB606C-2D95-4BE4-A2C1-17C6492EEBF8}"/>
              </a:ext>
            </a:extLst>
          </xdr:cNvPr>
          <xdr:cNvSpPr/>
        </xdr:nvSpPr>
        <xdr:spPr>
          <a:xfrm flipH="1">
            <a:off x="304800" y="4208944"/>
            <a:ext cx="1207008" cy="3566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sp macro="" textlink="">
        <xdr:nvSpPr>
          <xdr:cNvPr id="14" name="txt_WalkMeFeedback" descr="Feedback button, hyperlinked to web form">
            <a:hlinkClick xmlns:r="http://schemas.openxmlformats.org/officeDocument/2006/relationships" r:id="rId3" tooltip="Click to give us feedback on this tutorial"/>
            <a:extLst>
              <a:ext uri="{FF2B5EF4-FFF2-40B4-BE49-F238E27FC236}">
                <a16:creationId xmlns:a16="http://schemas.microsoft.com/office/drawing/2014/main" xmlns="" id="{1BCEAC9E-55F9-4C86-9B7B-A1987C340C90}"/>
              </a:ext>
            </a:extLst>
          </xdr:cNvPr>
          <xdr:cNvSpPr/>
        </xdr:nvSpPr>
        <xdr:spPr>
          <a:xfrm>
            <a:off x="3291839" y="4528986"/>
            <a:ext cx="1197864" cy="192024"/>
          </a:xfrm>
          <a:prstGeom prst="rect">
            <a:avLst/>
          </a:prstGeom>
          <a:solidFill>
            <a:schemeClr val="bg1">
              <a:lumMod val="85000"/>
            </a:schemeClr>
          </a:solidFill>
          <a:ln>
            <a:no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100" u="sng">
                <a:solidFill>
                  <a:sysClr val="windowText" lastClr="000000"/>
                </a:solidFill>
                <a:latin typeface="Segoe UI" pitchFamily="34" charset="0"/>
                <a:ea typeface="Segoe UI" pitchFamily="34" charset="0"/>
                <a:cs typeface="Segoe UI" pitchFamily="34" charset="0"/>
              </a:rPr>
              <a:t>Feedback</a:t>
            </a:r>
          </a:p>
        </xdr:txBody>
      </xdr:sp>
    </xdr:grpSp>
    <xdr:clientData/>
  </xdr:twoCellAnchor>
  <xdr:twoCellAnchor editAs="absolute">
    <xdr:from>
      <xdr:col>2</xdr:col>
      <xdr:colOff>194286</xdr:colOff>
      <xdr:row>4</xdr:row>
      <xdr:rowOff>145931</xdr:rowOff>
    </xdr:from>
    <xdr:to>
      <xdr:col>8</xdr:col>
      <xdr:colOff>395288</xdr:colOff>
      <xdr:row>10</xdr:row>
      <xdr:rowOff>10807</xdr:rowOff>
    </xdr:to>
    <xdr:grpSp>
      <xdr:nvGrpSpPr>
        <xdr:cNvPr id="8" name="TRY THIS">
          <a:extLst>
            <a:ext uri="{FF2B5EF4-FFF2-40B4-BE49-F238E27FC236}">
              <a16:creationId xmlns:a16="http://schemas.microsoft.com/office/drawing/2014/main" xmlns="" id="{0BE39F6C-3980-45FD-A194-D84E64F201B4}"/>
            </a:ext>
          </a:extLst>
        </xdr:cNvPr>
        <xdr:cNvGrpSpPr/>
      </xdr:nvGrpSpPr>
      <xdr:grpSpPr>
        <a:xfrm>
          <a:off x="1756386" y="898406"/>
          <a:ext cx="4487252" cy="1007876"/>
          <a:chOff x="1746861" y="907931"/>
          <a:chExt cx="4131971" cy="1007876"/>
        </a:xfrm>
      </xdr:grpSpPr>
      <xdr:sp macro="" textlink="">
        <xdr:nvSpPr>
          <xdr:cNvPr id="9" name="Experiment Step" descr="TRY THIS&#10;Click the minus sign next to Food, and the months under Food will collapse &quot;up&quot; and out of the way. Click the plus sign to bring back the months. (You can also collapse or expand the entire field like you did on the previous sheet, by right-clicking.)">
            <a:extLst>
              <a:ext uri="{FF2B5EF4-FFF2-40B4-BE49-F238E27FC236}">
                <a16:creationId xmlns:a16="http://schemas.microsoft.com/office/drawing/2014/main" xmlns="" id="{17A76F7E-CF96-432E-867A-A66C527153A1}"/>
              </a:ext>
            </a:extLst>
          </xdr:cNvPr>
          <xdr:cNvSpPr txBox="1"/>
        </xdr:nvSpPr>
        <xdr:spPr>
          <a:xfrm>
            <a:off x="2098990" y="907931"/>
            <a:ext cx="3779842" cy="10078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Calibri" panose="020F0502020204030204" pitchFamily="34" charset="0"/>
              </a:rPr>
              <a:t>TRY THIS</a:t>
            </a:r>
            <a:r>
              <a:rPr lang="en-US" sz="1100" b="1" kern="0">
                <a:solidFill>
                  <a:srgbClr val="ED7D31">
                    <a:lumMod val="60000"/>
                    <a:lumOff val="40000"/>
                  </a:srgbClr>
                </a:solidFill>
                <a:latin typeface="Calibri" panose="020F0502020204030204" pitchFamily="34" charset="0"/>
                <a:ea typeface="Segoe UI" pitchFamily="34" charset="0"/>
                <a:cs typeface="Calibri" panose="020F0502020204030204" pitchFamily="34" charset="0"/>
              </a:rPr>
              <a:t>
</a:t>
            </a:r>
            <a:r>
              <a:rPr lang="en-US" sz="1100" b="0" kern="0">
                <a:solidFill>
                  <a:sysClr val="windowText" lastClr="000000"/>
                </a:solidFill>
                <a:latin typeface="Calibri" panose="020F0502020204030204" pitchFamily="34" charset="0"/>
                <a:ea typeface="Segoe UI" pitchFamily="34" charset="0"/>
                <a:cs typeface="Calibri" panose="020F0502020204030204" pitchFamily="34" charset="0"/>
              </a:rPr>
              <a:t>Click the minus sign next to Food, and the months under Food will collapse "up" and out of the way. Click the plus sign to bring back the months. (You can also collapse or expand the entire field like you did on the previous sheet, by right-clicking.)</a:t>
            </a:r>
            <a:endParaRPr lang="en-US" sz="1100" b="0" kern="0" baseline="0">
              <a:solidFill>
                <a:sysClr val="windowText" lastClr="000000"/>
              </a:solidFill>
              <a:latin typeface="Calibri" panose="020F0502020204030204" pitchFamily="34" charset="0"/>
              <a:ea typeface="Segoe UI" pitchFamily="34" charset="0"/>
              <a:cs typeface="Calibri" panose="020F0502020204030204" pitchFamily="34" charset="0"/>
            </a:endParaRPr>
          </a:p>
        </xdr:txBody>
      </xdr:sp>
      <xdr:pic>
        <xdr:nvPicPr>
          <xdr:cNvPr id="10" name="Experiment Beaker">
            <a:extLst>
              <a:ext uri="{FF2B5EF4-FFF2-40B4-BE49-F238E27FC236}">
                <a16:creationId xmlns:a16="http://schemas.microsoft.com/office/drawing/2014/main" xmlns="" id="{1D0461ED-BC75-46E1-91A4-8F8FCB79468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xmlns="" r:embed="rId5"/>
              </a:ext>
            </a:extLst>
          </a:blip>
          <a:stretch>
            <a:fillRect/>
          </a:stretch>
        </xdr:blipFill>
        <xdr:spPr>
          <a:xfrm>
            <a:off x="1746861" y="924061"/>
            <a:ext cx="391520" cy="391520"/>
          </a:xfrm>
          <a:prstGeom prst="rect">
            <a:avLst/>
          </a:prstGeom>
        </xdr:spPr>
      </xdr:pic>
    </xdr:grpSp>
    <xdr:clientData/>
  </xdr:twoCellAnchor>
</xdr:wsDr>
</file>

<file path=xl/drawings/drawing19.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7</xdr:col>
      <xdr:colOff>675893</xdr:colOff>
      <xdr:row>4</xdr:row>
      <xdr:rowOff>6218</xdr:rowOff>
    </xdr:to>
    <xdr:sp macro="" textlink="">
      <xdr:nvSpPr>
        <xdr:cNvPr id="2" name="txt_WalkMeHeader" descr="Something to keep in mind: If you need more detail, it's possible to add many more row fields or columns fields. In this example, there are three row fields.">
          <a:extLst>
            <a:ext uri="{FF2B5EF4-FFF2-40B4-BE49-F238E27FC236}">
              <a16:creationId xmlns:a16="http://schemas.microsoft.com/office/drawing/2014/main" xmlns="" id="{C011284B-B0F0-486C-A69F-0A38D408EE06}"/>
            </a:ext>
          </a:extLst>
        </xdr:cNvPr>
        <xdr:cNvSpPr txBox="1"/>
      </xdr:nvSpPr>
      <xdr:spPr>
        <a:xfrm>
          <a:off x="0" y="0"/>
          <a:ext cx="7781543" cy="76821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500" b="0" kern="1200" baseline="0">
              <a:solidFill>
                <a:schemeClr val="dk1"/>
              </a:solidFill>
              <a:effectLst/>
              <a:latin typeface="Segoe UI Semibold" panose="020B0702040204020203" pitchFamily="34" charset="0"/>
              <a:ea typeface="+mn-ea"/>
              <a:cs typeface="Segoe UI Semibold" panose="020B0702040204020203" pitchFamily="34" charset="0"/>
            </a:rPr>
            <a:t>Something to keep in mind: </a:t>
          </a:r>
          <a:r>
            <a:rPr lang="en-US" sz="1500" b="0" kern="1200" baseline="0">
              <a:solidFill>
                <a:schemeClr val="dk1"/>
              </a:solidFill>
              <a:effectLst/>
              <a:latin typeface="Segoe UI Light" panose="020B0502040204020203" pitchFamily="34" charset="0"/>
              <a:ea typeface="+mn-ea"/>
              <a:cs typeface="Segoe UI Light" panose="020B0502040204020203" pitchFamily="34" charset="0"/>
            </a:rPr>
            <a:t>If you need more detail, it's possible to add many more row fields or columns fields. In this example, there are three row fields.</a:t>
          </a:r>
          <a:endParaRPr lang="sq-AL" sz="1500">
            <a:effectLst/>
            <a:latin typeface="Segoe UI Light" panose="020B0502040204020203" pitchFamily="34" charset="0"/>
            <a:cs typeface="Segoe UI Light" panose="020B0502040204020203" pitchFamily="34" charset="0"/>
          </a:endParaRPr>
        </a:p>
      </xdr:txBody>
    </xdr:sp>
    <xdr:clientData/>
  </xdr:twoCellAnchor>
  <xdr:twoCellAnchor editAs="absolute">
    <xdr:from>
      <xdr:col>1</xdr:col>
      <xdr:colOff>266516</xdr:colOff>
      <xdr:row>8</xdr:row>
      <xdr:rowOff>134251</xdr:rowOff>
    </xdr:from>
    <xdr:to>
      <xdr:col>4</xdr:col>
      <xdr:colOff>20692</xdr:colOff>
      <xdr:row>15</xdr:row>
      <xdr:rowOff>134802</xdr:rowOff>
    </xdr:to>
    <xdr:sp macro="" textlink="">
      <xdr:nvSpPr>
        <xdr:cNvPr id="3" name="shp_ArrowCurved">
          <a:extLst>
            <a:ext uri="{FF2B5EF4-FFF2-40B4-BE49-F238E27FC236}">
              <a16:creationId xmlns:a16="http://schemas.microsoft.com/office/drawing/2014/main" xmlns="" id="{4AB47227-8AF6-4DE2-BE53-338E3F26ED4D}"/>
            </a:ext>
          </a:extLst>
        </xdr:cNvPr>
        <xdr:cNvSpPr/>
      </xdr:nvSpPr>
      <xdr:spPr>
        <a:xfrm rot="6645800" flipV="1">
          <a:off x="1681616" y="995626"/>
          <a:ext cx="1334051" cy="2659301"/>
        </a:xfrm>
        <a:prstGeom prst="arc">
          <a:avLst>
            <a:gd name="adj1" fmla="val 11796840"/>
            <a:gd name="adj2" fmla="val 13141628"/>
          </a:avLst>
        </a:prstGeom>
        <a:ln w="19050">
          <a:headEnd type="arrow" w="med" len="med"/>
          <a:tailEnd type="none" w="med" len="med"/>
        </a:ln>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lgn="l"/>
          <a:endParaRPr lang="en-US" sz="1100">
            <a:solidFill>
              <a:schemeClr val="tx1"/>
            </a:solidFill>
            <a:latin typeface="+mn-lt"/>
            <a:ea typeface="+mn-ea"/>
            <a:cs typeface="+mn-cs"/>
          </a:endParaRPr>
        </a:p>
      </xdr:txBody>
    </xdr:sp>
    <xdr:clientData/>
  </xdr:twoCellAnchor>
  <xdr:twoCellAnchor editAs="absolute">
    <xdr:from>
      <xdr:col>0</xdr:col>
      <xdr:colOff>533921</xdr:colOff>
      <xdr:row>8</xdr:row>
      <xdr:rowOff>38102</xdr:rowOff>
    </xdr:from>
    <xdr:to>
      <xdr:col>2</xdr:col>
      <xdr:colOff>733428</xdr:colOff>
      <xdr:row>9</xdr:row>
      <xdr:rowOff>150151</xdr:rowOff>
    </xdr:to>
    <xdr:sp macro="" textlink="">
      <xdr:nvSpPr>
        <xdr:cNvPr id="4" name="Tip Text 24" descr="Second row field ">
          <a:extLst>
            <a:ext uri="{FF2B5EF4-FFF2-40B4-BE49-F238E27FC236}">
              <a16:creationId xmlns:a16="http://schemas.microsoft.com/office/drawing/2014/main" xmlns="" id="{FB102A7F-04E3-4C22-8B94-BE4F42F34EFB}"/>
            </a:ext>
          </a:extLst>
        </xdr:cNvPr>
        <xdr:cNvSpPr txBox="1"/>
      </xdr:nvSpPr>
      <xdr:spPr>
        <a:xfrm>
          <a:off x="533921" y="1562102"/>
          <a:ext cx="1561582" cy="302549"/>
        </a:xfrm>
        <a:prstGeom prst="rect">
          <a:avLst/>
        </a:prstGeom>
        <a:noFill/>
        <a:ln w="9525">
          <a:noFill/>
          <a:miter lim="800000"/>
          <a:headEnd/>
          <a:tailEnd/>
        </a:ln>
      </xdr:spPr>
      <xdr:txBody>
        <a:bodyPr rot="0" vert="horz" wrap="square" lIns="91440" tIns="45720" rIns="91440" bIns="45720" anchor="ctr" anchorCtr="0">
          <a:noAutofit/>
        </a:bodyPr>
        <a:lstStyle/>
        <a:p>
          <a:pPr algn="r" eaLnBrk="1" fontAlgn="auto" latinLnBrk="0" hangingPunct="1"/>
          <a:r>
            <a:rPr lang="en-US" sz="1100" b="0" i="0" baseline="0">
              <a:effectLst/>
              <a:latin typeface="Calibri" panose="020F0502020204030204" pitchFamily="34" charset="0"/>
              <a:ea typeface="+mn-ea"/>
              <a:cs typeface="Calibri" panose="020F0502020204030204" pitchFamily="34" charset="0"/>
            </a:rPr>
            <a:t>Second row field </a:t>
          </a:r>
          <a:endParaRPr lang="sq-AL" sz="1100">
            <a:effectLst/>
            <a:latin typeface="Calibri" panose="020F0502020204030204" pitchFamily="34" charset="0"/>
            <a:cs typeface="Calibri" panose="020F0502020204030204" pitchFamily="34" charset="0"/>
          </a:endParaRPr>
        </a:p>
      </xdr:txBody>
    </xdr:sp>
    <xdr:clientData/>
  </xdr:twoCellAnchor>
  <xdr:twoCellAnchor editAs="absolute">
    <xdr:from>
      <xdr:col>5</xdr:col>
      <xdr:colOff>669307</xdr:colOff>
      <xdr:row>9</xdr:row>
      <xdr:rowOff>154605</xdr:rowOff>
    </xdr:from>
    <xdr:to>
      <xdr:col>7</xdr:col>
      <xdr:colOff>438151</xdr:colOff>
      <xdr:row>19</xdr:row>
      <xdr:rowOff>9525</xdr:rowOff>
    </xdr:to>
    <xdr:sp macro="" textlink="">
      <xdr:nvSpPr>
        <xdr:cNvPr id="5" name="EXPERT TIP" descr="EXPERT TIP&#10;Just because you can add a bunch of fields, doesn't mean you should. Sometimes too many fields, with all of their indentations, can make the PivotTable too complicated for other people to understand. ">
          <a:extLst>
            <a:ext uri="{FF2B5EF4-FFF2-40B4-BE49-F238E27FC236}">
              <a16:creationId xmlns:a16="http://schemas.microsoft.com/office/drawing/2014/main" xmlns="" id="{C4CCE6EA-F934-4D66-8BF9-A25DB0377A92}"/>
            </a:ext>
          </a:extLst>
        </xdr:cNvPr>
        <xdr:cNvSpPr txBox="1"/>
      </xdr:nvSpPr>
      <xdr:spPr>
        <a:xfrm>
          <a:off x="5317507" y="1869105"/>
          <a:ext cx="2226294" cy="1759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Calibri" panose="020F0502020204030204" pitchFamily="34" charset="0"/>
            </a:rPr>
            <a:t>EXPERT TIP</a:t>
          </a:r>
          <a:r>
            <a:rPr lang="en-US" sz="1100" b="1" kern="0">
              <a:solidFill>
                <a:srgbClr val="ED7D31">
                  <a:lumMod val="60000"/>
                  <a:lumOff val="40000"/>
                </a:srgbClr>
              </a:solidFill>
              <a:latin typeface="Calibri" panose="020F0502020204030204" pitchFamily="34" charset="0"/>
              <a:ea typeface="Segoe UI" pitchFamily="34" charset="0"/>
              <a:cs typeface="Calibri" panose="020F0502020204030204" pitchFamily="34" charset="0"/>
            </a:rPr>
            <a:t>
</a:t>
          </a:r>
          <a:r>
            <a:rPr lang="en-US" sz="1100" b="0" kern="0">
              <a:solidFill>
                <a:sysClr val="windowText" lastClr="000000"/>
              </a:solidFill>
              <a:latin typeface="Calibri" panose="020F0502020204030204" pitchFamily="34" charset="0"/>
              <a:ea typeface="Segoe UI" pitchFamily="34" charset="0"/>
              <a:cs typeface="Calibri" panose="020F0502020204030204" pitchFamily="34" charset="0"/>
            </a:rPr>
            <a:t>Just because you can add a bunch of fields, doesn't mean you should. In</a:t>
          </a:r>
          <a:r>
            <a:rPr lang="en-US" sz="1100" b="0" kern="0" baseline="0">
              <a:solidFill>
                <a:sysClr val="windowText" lastClr="000000"/>
              </a:solidFill>
              <a:latin typeface="Calibri" panose="020F0502020204030204" pitchFamily="34" charset="0"/>
              <a:ea typeface="Segoe UI" pitchFamily="34" charset="0"/>
              <a:cs typeface="Calibri" panose="020F0502020204030204" pitchFamily="34" charset="0"/>
            </a:rPr>
            <a:t> this example, it works fine. But s</a:t>
          </a:r>
          <a:r>
            <a:rPr lang="en-US" sz="1100" b="0" kern="0">
              <a:solidFill>
                <a:sysClr val="windowText" lastClr="000000"/>
              </a:solidFill>
              <a:latin typeface="Calibri" panose="020F0502020204030204" pitchFamily="34" charset="0"/>
              <a:ea typeface="Segoe UI" pitchFamily="34" charset="0"/>
              <a:cs typeface="Calibri" panose="020F0502020204030204" pitchFamily="34" charset="0"/>
            </a:rPr>
            <a:t>ometimes too many fields, with all of their indentations, can make the PivotTable too complicated for other people to understand. </a:t>
          </a:r>
          <a:endParaRPr lang="en-US" sz="1100" b="0">
            <a:solidFill>
              <a:sysClr val="windowText" lastClr="000000"/>
            </a:solidFill>
            <a:effectLst/>
            <a:latin typeface="Calibri" panose="020F0502020204030204" pitchFamily="34" charset="0"/>
            <a:cs typeface="Calibri" panose="020F0502020204030204" pitchFamily="34" charset="0"/>
          </a:endParaRPr>
        </a:p>
      </xdr:txBody>
    </xdr:sp>
    <xdr:clientData fLocksWithSheet="0"/>
  </xdr:twoCellAnchor>
  <xdr:twoCellAnchor editAs="absolute">
    <xdr:from>
      <xdr:col>0</xdr:col>
      <xdr:colOff>533921</xdr:colOff>
      <xdr:row>10</xdr:row>
      <xdr:rowOff>104231</xdr:rowOff>
    </xdr:from>
    <xdr:to>
      <xdr:col>2</xdr:col>
      <xdr:colOff>733428</xdr:colOff>
      <xdr:row>12</xdr:row>
      <xdr:rowOff>27685</xdr:rowOff>
    </xdr:to>
    <xdr:sp macro="" textlink="">
      <xdr:nvSpPr>
        <xdr:cNvPr id="6" name="Tip Text 25" descr="Third row field ">
          <a:extLst>
            <a:ext uri="{FF2B5EF4-FFF2-40B4-BE49-F238E27FC236}">
              <a16:creationId xmlns:a16="http://schemas.microsoft.com/office/drawing/2014/main" xmlns="" id="{3C9F274D-759C-4403-B2D2-B4A58C1F8013}"/>
            </a:ext>
          </a:extLst>
        </xdr:cNvPr>
        <xdr:cNvSpPr txBox="1"/>
      </xdr:nvSpPr>
      <xdr:spPr>
        <a:xfrm>
          <a:off x="533921" y="2009231"/>
          <a:ext cx="1561582" cy="304454"/>
        </a:xfrm>
        <a:prstGeom prst="rect">
          <a:avLst/>
        </a:prstGeom>
        <a:noFill/>
        <a:ln w="9525">
          <a:noFill/>
          <a:miter lim="800000"/>
          <a:headEnd/>
          <a:tailEnd/>
        </a:ln>
      </xdr:spPr>
      <xdr:txBody>
        <a:bodyPr rot="0" vert="horz" wrap="square" lIns="91440" tIns="45720" rIns="91440" bIns="45720" anchor="ctr" anchorCtr="0">
          <a:noAutofit/>
        </a:bodyPr>
        <a:lstStyle/>
        <a:p>
          <a:pPr algn="r" eaLnBrk="1" fontAlgn="auto" latinLnBrk="0" hangingPunct="1"/>
          <a:r>
            <a:rPr lang="en-US" sz="1100" b="0" i="0" baseline="0">
              <a:effectLst/>
              <a:latin typeface="Calibri" panose="020F0502020204030204" pitchFamily="34" charset="0"/>
              <a:ea typeface="+mn-ea"/>
              <a:cs typeface="Calibri" panose="020F0502020204030204" pitchFamily="34" charset="0"/>
            </a:rPr>
            <a:t>Third row field </a:t>
          </a:r>
          <a:endParaRPr lang="sq-AL" sz="1100">
            <a:effectLst/>
            <a:latin typeface="Calibri" panose="020F0502020204030204" pitchFamily="34" charset="0"/>
            <a:cs typeface="Calibri" panose="020F0502020204030204" pitchFamily="34" charset="0"/>
          </a:endParaRPr>
        </a:p>
      </xdr:txBody>
    </xdr:sp>
    <xdr:clientData/>
  </xdr:twoCellAnchor>
  <xdr:twoCellAnchor editAs="absolute">
    <xdr:from>
      <xdr:col>2</xdr:col>
      <xdr:colOff>739140</xdr:colOff>
      <xdr:row>10</xdr:row>
      <xdr:rowOff>57695</xdr:rowOff>
    </xdr:from>
    <xdr:to>
      <xdr:col>2</xdr:col>
      <xdr:colOff>1048492</xdr:colOff>
      <xdr:row>12</xdr:row>
      <xdr:rowOff>132261</xdr:rowOff>
    </xdr:to>
    <xdr:sp macro="" textlink="">
      <xdr:nvSpPr>
        <xdr:cNvPr id="7" name="shp_BraceBottom">
          <a:extLst>
            <a:ext uri="{FF2B5EF4-FFF2-40B4-BE49-F238E27FC236}">
              <a16:creationId xmlns:a16="http://schemas.microsoft.com/office/drawing/2014/main" xmlns="" id="{869A62DC-09F6-4EA4-B275-5E37D77A5F17}"/>
            </a:ext>
          </a:extLst>
        </xdr:cNvPr>
        <xdr:cNvSpPr/>
      </xdr:nvSpPr>
      <xdr:spPr>
        <a:xfrm>
          <a:off x="2101215" y="1962695"/>
          <a:ext cx="309352" cy="455566"/>
        </a:xfrm>
        <a:prstGeom prst="leftBrace">
          <a:avLst>
            <a:gd name="adj1" fmla="val 34667"/>
            <a:gd name="adj2" fmla="val 48452"/>
          </a:avLst>
        </a:prstGeom>
        <a:ln w="19050">
          <a:prstDash val="sysDash"/>
        </a:ln>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clientData/>
  </xdr:twoCellAnchor>
  <xdr:twoCellAnchor editAs="absolute">
    <xdr:from>
      <xdr:col>1</xdr:col>
      <xdr:colOff>266516</xdr:colOff>
      <xdr:row>9</xdr:row>
      <xdr:rowOff>92341</xdr:rowOff>
    </xdr:from>
    <xdr:to>
      <xdr:col>4</xdr:col>
      <xdr:colOff>20692</xdr:colOff>
      <xdr:row>16</xdr:row>
      <xdr:rowOff>60507</xdr:rowOff>
    </xdr:to>
    <xdr:sp macro="" textlink="">
      <xdr:nvSpPr>
        <xdr:cNvPr id="8" name="shp_ArrowCurved" descr="Arrow">
          <a:extLst>
            <a:ext uri="{FF2B5EF4-FFF2-40B4-BE49-F238E27FC236}">
              <a16:creationId xmlns:a16="http://schemas.microsoft.com/office/drawing/2014/main" xmlns="" id="{29453DDD-E84E-4274-8ED3-1FD027BED7C5}"/>
            </a:ext>
          </a:extLst>
        </xdr:cNvPr>
        <xdr:cNvSpPr/>
      </xdr:nvSpPr>
      <xdr:spPr>
        <a:xfrm rot="6645800" flipV="1">
          <a:off x="1697809" y="1128023"/>
          <a:ext cx="1301666" cy="2659301"/>
        </a:xfrm>
        <a:prstGeom prst="arc">
          <a:avLst>
            <a:gd name="adj1" fmla="val 11796840"/>
            <a:gd name="adj2" fmla="val 13141628"/>
          </a:avLst>
        </a:prstGeom>
        <a:ln w="19050">
          <a:headEnd type="arrow" w="med" len="med"/>
          <a:tailEnd type="none" w="med" len="med"/>
        </a:ln>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lgn="l"/>
          <a:endParaRPr lang="en-US" sz="1100">
            <a:solidFill>
              <a:schemeClr val="tx1"/>
            </a:solidFill>
            <a:latin typeface="+mn-lt"/>
            <a:ea typeface="+mn-ea"/>
            <a:cs typeface="+mn-cs"/>
          </a:endParaRPr>
        </a:p>
      </xdr:txBody>
    </xdr:sp>
    <xdr:clientData/>
  </xdr:twoCellAnchor>
  <xdr:twoCellAnchor>
    <xdr:from>
      <xdr:col>0</xdr:col>
      <xdr:colOff>0</xdr:colOff>
      <xdr:row>31</xdr:row>
      <xdr:rowOff>0</xdr:rowOff>
    </xdr:from>
    <xdr:to>
      <xdr:col>7</xdr:col>
      <xdr:colOff>656843</xdr:colOff>
      <xdr:row>34</xdr:row>
      <xdr:rowOff>96012</xdr:rowOff>
    </xdr:to>
    <xdr:sp macro="" textlink="">
      <xdr:nvSpPr>
        <xdr:cNvPr id="9" name="txt_WalkMeFooter">
          <a:extLst>
            <a:ext uri="{FF2B5EF4-FFF2-40B4-BE49-F238E27FC236}">
              <a16:creationId xmlns:a16="http://schemas.microsoft.com/office/drawing/2014/main" xmlns="" id="{1321D1F8-A9D2-456B-8DD3-753C5F6F3447}"/>
            </a:ext>
          </a:extLst>
        </xdr:cNvPr>
        <xdr:cNvSpPr txBox="1"/>
      </xdr:nvSpPr>
      <xdr:spPr>
        <a:xfrm>
          <a:off x="0" y="5905500"/>
          <a:ext cx="7762493" cy="66751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
            <a:ea typeface="Segoe UI" pitchFamily="34" charset="0"/>
            <a:cs typeface="Segoe UI Light" panose="020B0502040204020203" pitchFamily="34" charset="0"/>
          </a:endParaRPr>
        </a:p>
      </xdr:txBody>
    </xdr:sp>
    <xdr:clientData/>
  </xdr:twoCellAnchor>
  <xdr:twoCellAnchor>
    <xdr:from>
      <xdr:col>6</xdr:col>
      <xdr:colOff>527050</xdr:colOff>
      <xdr:row>31</xdr:row>
      <xdr:rowOff>155448</xdr:rowOff>
    </xdr:from>
    <xdr:to>
      <xdr:col>7</xdr:col>
      <xdr:colOff>343408</xdr:colOff>
      <xdr:row>33</xdr:row>
      <xdr:rowOff>131064</xdr:rowOff>
    </xdr:to>
    <xdr:sp macro="" textlink="">
      <xdr:nvSpPr>
        <xdr:cNvPr id="10" name="txt_WalkMeNext" descr="Next step button, hyperlinked to next sheet">
          <a:hlinkClick xmlns:r="http://schemas.openxmlformats.org/officeDocument/2006/relationships" r:id="rId1" tooltip="Click here to go to the next sheet"/>
          <a:extLst>
            <a:ext uri="{FF2B5EF4-FFF2-40B4-BE49-F238E27FC236}">
              <a16:creationId xmlns:a16="http://schemas.microsoft.com/office/drawing/2014/main" xmlns="" id="{64589D57-8C0B-4591-9AA5-A837B1CFDA08}"/>
            </a:ext>
          </a:extLst>
        </xdr:cNvPr>
        <xdr:cNvSpPr/>
      </xdr:nvSpPr>
      <xdr:spPr>
        <a:xfrm>
          <a:off x="6242050" y="6060948"/>
          <a:ext cx="1207008" cy="3566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xdr:from>
      <xdr:col>0</xdr:col>
      <xdr:colOff>304800</xdr:colOff>
      <xdr:row>31</xdr:row>
      <xdr:rowOff>155448</xdr:rowOff>
    </xdr:from>
    <xdr:to>
      <xdr:col>2</xdr:col>
      <xdr:colOff>149733</xdr:colOff>
      <xdr:row>33</xdr:row>
      <xdr:rowOff>131064</xdr:rowOff>
    </xdr:to>
    <xdr:sp macro="" textlink="">
      <xdr:nvSpPr>
        <xdr:cNvPr id="11" name="txt_WalkMePrevious" descr="Previous step button, hyperlinked to previous sheet">
          <a:hlinkClick xmlns:r="http://schemas.openxmlformats.org/officeDocument/2006/relationships" r:id="rId2" tooltip="Click here to go back to the previous sheet"/>
          <a:extLst>
            <a:ext uri="{FF2B5EF4-FFF2-40B4-BE49-F238E27FC236}">
              <a16:creationId xmlns:a16="http://schemas.microsoft.com/office/drawing/2014/main" xmlns="" id="{742B494E-BF3E-4F1F-BCD3-F71BF8F93B22}"/>
            </a:ext>
          </a:extLst>
        </xdr:cNvPr>
        <xdr:cNvSpPr/>
      </xdr:nvSpPr>
      <xdr:spPr>
        <a:xfrm flipH="1">
          <a:off x="304800" y="6060948"/>
          <a:ext cx="1207008" cy="3566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xdr:twoCellAnchor>
  <xdr:twoCellAnchor>
    <xdr:from>
      <xdr:col>3</xdr:col>
      <xdr:colOff>643889</xdr:colOff>
      <xdr:row>33</xdr:row>
      <xdr:rowOff>94488</xdr:rowOff>
    </xdr:from>
    <xdr:to>
      <xdr:col>4</xdr:col>
      <xdr:colOff>784478</xdr:colOff>
      <xdr:row>34</xdr:row>
      <xdr:rowOff>96012</xdr:rowOff>
    </xdr:to>
    <xdr:sp macro="" textlink="">
      <xdr:nvSpPr>
        <xdr:cNvPr id="12" name="txt_WalkMeFeedback" descr="Feedback button, hyperlinked to web form">
          <a:hlinkClick xmlns:r="http://schemas.openxmlformats.org/officeDocument/2006/relationships" r:id="rId3" tooltip="Click to give us feedback on this tutorial"/>
          <a:extLst>
            <a:ext uri="{FF2B5EF4-FFF2-40B4-BE49-F238E27FC236}">
              <a16:creationId xmlns:a16="http://schemas.microsoft.com/office/drawing/2014/main" xmlns="" id="{BC223BCD-AF22-4FE2-A2F6-AAA250493280}"/>
            </a:ext>
          </a:extLst>
        </xdr:cNvPr>
        <xdr:cNvSpPr/>
      </xdr:nvSpPr>
      <xdr:spPr>
        <a:xfrm>
          <a:off x="3291839" y="6380988"/>
          <a:ext cx="1150239" cy="192024"/>
        </a:xfrm>
        <a:prstGeom prst="rect">
          <a:avLst/>
        </a:prstGeom>
        <a:solidFill>
          <a:schemeClr val="bg1">
            <a:lumMod val="85000"/>
          </a:schemeClr>
        </a:solidFill>
        <a:ln>
          <a:no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100" u="sng">
              <a:solidFill>
                <a:sysClr val="windowText" lastClr="000000"/>
              </a:solidFill>
              <a:latin typeface="Segoe UI" panose="020B0502040204020203" pitchFamily="34" charset="0"/>
              <a:ea typeface="Segoe UI" pitchFamily="34" charset="0"/>
              <a:cs typeface="Segoe UI" pitchFamily="34" charset="0"/>
            </a:rPr>
            <a:t>Feedback</a:t>
          </a:r>
        </a:p>
      </xdr:txBody>
    </xdr:sp>
    <xdr:clientData/>
  </xdr:twoCellAnchor>
  <xdr:twoCellAnchor>
    <xdr:from>
      <xdr:col>5</xdr:col>
      <xdr:colOff>314325</xdr:colOff>
      <xdr:row>10</xdr:row>
      <xdr:rowOff>9525</xdr:rowOff>
    </xdr:from>
    <xdr:to>
      <xdr:col>5</xdr:col>
      <xdr:colOff>761702</xdr:colOff>
      <xdr:row>12</xdr:row>
      <xdr:rowOff>75902</xdr:rowOff>
    </xdr:to>
    <xdr:pic>
      <xdr:nvPicPr>
        <xdr:cNvPr id="13" name="Expert TIp Owl">
          <a:extLst>
            <a:ext uri="{FF2B5EF4-FFF2-40B4-BE49-F238E27FC236}">
              <a16:creationId xmlns:a16="http://schemas.microsoft.com/office/drawing/2014/main" xmlns="" id="{488FB37E-34F1-46FE-97A8-7EF5F4973102}"/>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xmlns="" r:embed="rId5"/>
            </a:ext>
          </a:extLst>
        </a:blip>
        <a:stretch>
          <a:fillRect/>
        </a:stretch>
      </xdr:blipFill>
      <xdr:spPr>
        <a:xfrm>
          <a:off x="4962525" y="1914525"/>
          <a:ext cx="447377" cy="447377"/>
        </a:xfrm>
        <a:prstGeom prst="rect">
          <a:avLst/>
        </a:prstGeom>
      </xdr:spPr>
    </xdr:pic>
    <xdr:clientData/>
  </xdr:twoCellAnchor>
  <xdr:twoCellAnchor editAs="absolute">
    <xdr:from>
      <xdr:col>0</xdr:col>
      <xdr:colOff>533921</xdr:colOff>
      <xdr:row>7</xdr:row>
      <xdr:rowOff>19052</xdr:rowOff>
    </xdr:from>
    <xdr:to>
      <xdr:col>2</xdr:col>
      <xdr:colOff>733428</xdr:colOff>
      <xdr:row>8</xdr:row>
      <xdr:rowOff>131101</xdr:rowOff>
    </xdr:to>
    <xdr:sp macro="" textlink="">
      <xdr:nvSpPr>
        <xdr:cNvPr id="14" name="Tip Text 23" descr="Second row field ">
          <a:extLst>
            <a:ext uri="{FF2B5EF4-FFF2-40B4-BE49-F238E27FC236}">
              <a16:creationId xmlns:a16="http://schemas.microsoft.com/office/drawing/2014/main" xmlns="" id="{75DC3FB1-7CC2-43EC-8086-64ADE3E22A58}"/>
            </a:ext>
          </a:extLst>
        </xdr:cNvPr>
        <xdr:cNvSpPr txBox="1"/>
      </xdr:nvSpPr>
      <xdr:spPr>
        <a:xfrm>
          <a:off x="533921" y="1352552"/>
          <a:ext cx="1561582" cy="302549"/>
        </a:xfrm>
        <a:prstGeom prst="rect">
          <a:avLst/>
        </a:prstGeom>
        <a:noFill/>
        <a:ln w="9525">
          <a:noFill/>
          <a:miter lim="800000"/>
          <a:headEnd/>
          <a:tailEnd/>
        </a:ln>
      </xdr:spPr>
      <xdr:txBody>
        <a:bodyPr rot="0" vert="horz" wrap="square" lIns="91440" tIns="45720" rIns="91440" bIns="45720" anchor="ctr" anchorCtr="0">
          <a:noAutofit/>
        </a:bodyPr>
        <a:lstStyle/>
        <a:p>
          <a:pPr algn="r" eaLnBrk="1" fontAlgn="auto" latinLnBrk="0" hangingPunct="1"/>
          <a:r>
            <a:rPr lang="en-US" sz="1100" b="0" i="0" baseline="0">
              <a:effectLst/>
              <a:latin typeface="Calibri" panose="020F0502020204030204" pitchFamily="34" charset="0"/>
              <a:ea typeface="+mn-ea"/>
              <a:cs typeface="Calibri" panose="020F0502020204030204" pitchFamily="34" charset="0"/>
            </a:rPr>
            <a:t>First row field </a:t>
          </a:r>
          <a:endParaRPr lang="sq-AL" sz="1100">
            <a:effectLst/>
            <a:latin typeface="Calibri" panose="020F0502020204030204" pitchFamily="34" charset="0"/>
            <a:cs typeface="Calibri" panose="020F0502020204030204" pitchFamily="34" charset="0"/>
          </a:endParaRPr>
        </a:p>
      </xdr:txBody>
    </xdr:sp>
    <xdr:clientData/>
  </xdr:twoCellAnchor>
</xdr:wsDr>
</file>

<file path=xl/drawings/drawing20.xml><?xml version="1.0" encoding="utf-8"?>
<xdr:wsDr xmlns:xdr="http://schemas.openxmlformats.org/drawingml/2006/spreadsheetDrawing" xmlns:a="http://schemas.openxmlformats.org/drawingml/2006/main">
  <xdr:twoCellAnchor editAs="absolute">
    <xdr:from>
      <xdr:col>0</xdr:col>
      <xdr:colOff>0</xdr:colOff>
      <xdr:row>0</xdr:row>
      <xdr:rowOff>-1</xdr:rowOff>
    </xdr:from>
    <xdr:to>
      <xdr:col>12</xdr:col>
      <xdr:colOff>266318</xdr:colOff>
      <xdr:row>4</xdr:row>
      <xdr:rowOff>6218</xdr:rowOff>
    </xdr:to>
    <xdr:sp macro="" textlink="">
      <xdr:nvSpPr>
        <xdr:cNvPr id="2" name="txt_WalkMeHeader" descr="Ready for more practice? Take a quick look at the data below. When you're ready, go to the next sheet and you'll practice what you've learned so far. ">
          <a:extLst>
            <a:ext uri="{FF2B5EF4-FFF2-40B4-BE49-F238E27FC236}">
              <a16:creationId xmlns:a16="http://schemas.microsoft.com/office/drawing/2014/main" xmlns="" id="{CCEE35F0-FCC2-4B95-A11B-3B4CB8D95751}"/>
            </a:ext>
          </a:extLst>
        </xdr:cNvPr>
        <xdr:cNvSpPr txBox="1"/>
      </xdr:nvSpPr>
      <xdr:spPr>
        <a:xfrm>
          <a:off x="0" y="-1"/>
          <a:ext cx="7781543" cy="768219"/>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500" b="0" kern="1200" baseline="0">
              <a:solidFill>
                <a:schemeClr val="dk1"/>
              </a:solidFill>
              <a:effectLst/>
              <a:latin typeface="Segoe UI Semibold" panose="020B0702040204020203" pitchFamily="34" charset="0"/>
              <a:ea typeface="+mn-ea"/>
              <a:cs typeface="Segoe UI Semibold" panose="020B0702040204020203" pitchFamily="34" charset="0"/>
            </a:rPr>
            <a:t>Ready for more practice? </a:t>
          </a:r>
          <a:r>
            <a:rPr lang="en-US" sz="1500" b="0" kern="1200" baseline="0">
              <a:solidFill>
                <a:schemeClr val="dk1"/>
              </a:solidFill>
              <a:effectLst/>
              <a:latin typeface="Segoe UI Light" panose="020B0502040204020203" pitchFamily="34" charset="0"/>
              <a:ea typeface="+mn-ea"/>
              <a:cs typeface="Segoe UI Light" panose="020B0502040204020203" pitchFamily="34" charset="0"/>
            </a:rPr>
            <a:t>Take a quick look at the data below. When you're ready, scroll down and click </a:t>
          </a:r>
          <a:r>
            <a:rPr lang="en-US" sz="1500" b="0" i="1" kern="1200" baseline="0">
              <a:solidFill>
                <a:schemeClr val="dk1"/>
              </a:solidFill>
              <a:effectLst/>
              <a:latin typeface="Segoe UI Light" panose="020B0502040204020203" pitchFamily="34" charset="0"/>
              <a:ea typeface="+mn-ea"/>
              <a:cs typeface="Segoe UI Light" panose="020B0502040204020203" pitchFamily="34" charset="0"/>
            </a:rPr>
            <a:t>Next</a:t>
          </a:r>
          <a:r>
            <a:rPr lang="en-US" sz="1500" b="0" kern="1200" baseline="0">
              <a:solidFill>
                <a:schemeClr val="dk1"/>
              </a:solidFill>
              <a:effectLst/>
              <a:latin typeface="Segoe UI Light" panose="020B0502040204020203" pitchFamily="34" charset="0"/>
              <a:ea typeface="+mn-ea"/>
              <a:cs typeface="Segoe UI Light" panose="020B0502040204020203" pitchFamily="34" charset="0"/>
            </a:rPr>
            <a:t> to practice what you've learned. </a:t>
          </a:r>
          <a:endParaRPr lang="en-US" sz="1500">
            <a:effectLst/>
            <a:latin typeface="Segoe UI Light" panose="020B0502040204020203" pitchFamily="34" charset="0"/>
            <a:cs typeface="Segoe UI Light" panose="020B0502040204020203" pitchFamily="34" charset="0"/>
          </a:endParaRPr>
        </a:p>
      </xdr:txBody>
    </xdr:sp>
    <xdr:clientData/>
  </xdr:twoCellAnchor>
  <xdr:twoCellAnchor editAs="absolute">
    <xdr:from>
      <xdr:col>5</xdr:col>
      <xdr:colOff>79548</xdr:colOff>
      <xdr:row>5</xdr:row>
      <xdr:rowOff>150345</xdr:rowOff>
    </xdr:from>
    <xdr:to>
      <xdr:col>11</xdr:col>
      <xdr:colOff>515626</xdr:colOff>
      <xdr:row>13</xdr:row>
      <xdr:rowOff>132362</xdr:rowOff>
    </xdr:to>
    <xdr:grpSp>
      <xdr:nvGrpSpPr>
        <xdr:cNvPr id="3" name="Group 2">
          <a:extLst>
            <a:ext uri="{FF2B5EF4-FFF2-40B4-BE49-F238E27FC236}">
              <a16:creationId xmlns:a16="http://schemas.microsoft.com/office/drawing/2014/main" xmlns="" id="{021840A9-BAB3-4E80-8046-39C0DD949DA0}"/>
            </a:ext>
          </a:extLst>
        </xdr:cNvPr>
        <xdr:cNvGrpSpPr/>
      </xdr:nvGrpSpPr>
      <xdr:grpSpPr>
        <a:xfrm>
          <a:off x="3327573" y="1102845"/>
          <a:ext cx="4093678" cy="1506017"/>
          <a:chOff x="3165648" y="1150470"/>
          <a:chExt cx="4093678" cy="1506017"/>
        </a:xfrm>
      </xdr:grpSpPr>
      <xdr:sp macro="" textlink="">
        <xdr:nvSpPr>
          <xdr:cNvPr id="4" name="Important Detail Step" descr="LOOK HERE&#10;No need to read all the rows of data. Just look at the field names in the first row, here. You'll be working with these on the next sheet. When you're ready, scroll down and click Next. ">
            <a:extLst>
              <a:ext uri="{FF2B5EF4-FFF2-40B4-BE49-F238E27FC236}">
                <a16:creationId xmlns:a16="http://schemas.microsoft.com/office/drawing/2014/main" xmlns="" id="{52FBD275-FC21-447C-AC41-552726B979F5}"/>
              </a:ext>
            </a:extLst>
          </xdr:cNvPr>
          <xdr:cNvSpPr txBox="1"/>
        </xdr:nvSpPr>
        <xdr:spPr>
          <a:xfrm>
            <a:off x="3969825" y="1303742"/>
            <a:ext cx="3289501" cy="13527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Calibri" panose="020F0502020204030204" pitchFamily="34" charset="0"/>
              </a:rPr>
              <a:t>LOOK HERE</a:t>
            </a:r>
            <a:r>
              <a:rPr lang="en-US" sz="1100" b="1" kern="0">
                <a:solidFill>
                  <a:srgbClr val="ED7D31">
                    <a:lumMod val="60000"/>
                    <a:lumOff val="40000"/>
                  </a:srgbClr>
                </a:solidFill>
                <a:latin typeface="Calibri" panose="020F0502020204030204" pitchFamily="34" charset="0"/>
                <a:ea typeface="Segoe UI" pitchFamily="34" charset="0"/>
                <a:cs typeface="Calibri" panose="020F0502020204030204" pitchFamily="34" charset="0"/>
              </a:rPr>
              <a:t>
</a:t>
            </a:r>
            <a:r>
              <a:rPr lang="en-US" sz="1100" b="0" kern="0">
                <a:solidFill>
                  <a:sysClr val="windowText" lastClr="000000"/>
                </a:solidFill>
                <a:latin typeface="Calibri" panose="020F0502020204030204" pitchFamily="34" charset="0"/>
                <a:ea typeface="Segoe UI" pitchFamily="34" charset="0"/>
                <a:cs typeface="Calibri" panose="020F0502020204030204" pitchFamily="34" charset="0"/>
              </a:rPr>
              <a:t>No need to read all the rows of data. Just look at the field names in the first row. You'll be working with these on the next sheet. When you're ready, scroll down and click </a:t>
            </a:r>
            <a:r>
              <a:rPr lang="en-US" sz="1100" b="1" kern="0">
                <a:solidFill>
                  <a:sysClr val="windowText" lastClr="000000"/>
                </a:solidFill>
                <a:latin typeface="Calibri" panose="020F0502020204030204" pitchFamily="34" charset="0"/>
                <a:ea typeface="Segoe UI" pitchFamily="34" charset="0"/>
                <a:cs typeface="Calibri" panose="020F0502020204030204" pitchFamily="34" charset="0"/>
              </a:rPr>
              <a:t>Next</a:t>
            </a:r>
            <a:r>
              <a:rPr lang="en-US" sz="1100" b="0" kern="0">
                <a:solidFill>
                  <a:sysClr val="windowText" lastClr="000000"/>
                </a:solidFill>
                <a:latin typeface="Calibri" panose="020F0502020204030204" pitchFamily="34" charset="0"/>
                <a:ea typeface="Segoe UI" pitchFamily="34" charset="0"/>
                <a:cs typeface="Calibri" panose="020F0502020204030204" pitchFamily="34" charset="0"/>
              </a:rPr>
              <a:t>. </a:t>
            </a:r>
            <a:endParaRPr lang="en-US" sz="1100" b="0">
              <a:solidFill>
                <a:sysClr val="windowText" lastClr="000000"/>
              </a:solidFill>
              <a:effectLst/>
              <a:latin typeface="Calibri" panose="020F0502020204030204" pitchFamily="34" charset="0"/>
              <a:cs typeface="Calibri" panose="020F0502020204030204" pitchFamily="34" charset="0"/>
            </a:endParaRPr>
          </a:p>
        </xdr:txBody>
      </xdr:sp>
      <xdr:pic>
        <xdr:nvPicPr>
          <xdr:cNvPr id="5" name="Magnify glass">
            <a:extLst>
              <a:ext uri="{FF2B5EF4-FFF2-40B4-BE49-F238E27FC236}">
                <a16:creationId xmlns:a16="http://schemas.microsoft.com/office/drawing/2014/main" xmlns="" id="{F392BC21-3435-49F6-92CB-9D39A5D6810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xmlns="" r:embed="rId2"/>
              </a:ext>
            </a:extLst>
          </a:blip>
          <a:stretch>
            <a:fillRect/>
          </a:stretch>
        </xdr:blipFill>
        <xdr:spPr>
          <a:xfrm flipH="1">
            <a:off x="3695700" y="1274775"/>
            <a:ext cx="337980" cy="337980"/>
          </a:xfrm>
          <a:prstGeom prst="rect">
            <a:avLst/>
          </a:prstGeom>
        </xdr:spPr>
      </xdr:pic>
      <xdr:sp macro="" textlink="">
        <xdr:nvSpPr>
          <xdr:cNvPr id="6" name="Arrow">
            <a:extLst>
              <a:ext uri="{FF2B5EF4-FFF2-40B4-BE49-F238E27FC236}">
                <a16:creationId xmlns:a16="http://schemas.microsoft.com/office/drawing/2014/main" xmlns="" id="{EC81B770-C86D-413B-8F46-1B5A181A5B4F}"/>
              </a:ext>
            </a:extLst>
          </xdr:cNvPr>
          <xdr:cNvSpPr/>
        </xdr:nvSpPr>
        <xdr:spPr>
          <a:xfrm rot="19961319">
            <a:off x="3165648" y="1150470"/>
            <a:ext cx="459212" cy="406164"/>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fLocksWithSheet="0"/>
  </xdr:twoCellAnchor>
  <xdr:twoCellAnchor>
    <xdr:from>
      <xdr:col>0</xdr:col>
      <xdr:colOff>0</xdr:colOff>
      <xdr:row>56</xdr:row>
      <xdr:rowOff>0</xdr:rowOff>
    </xdr:from>
    <xdr:to>
      <xdr:col>12</xdr:col>
      <xdr:colOff>466343</xdr:colOff>
      <xdr:row>59</xdr:row>
      <xdr:rowOff>96012</xdr:rowOff>
    </xdr:to>
    <xdr:sp macro="" textlink="">
      <xdr:nvSpPr>
        <xdr:cNvPr id="7" name="txt_WalkMeFooter">
          <a:extLst>
            <a:ext uri="{FF2B5EF4-FFF2-40B4-BE49-F238E27FC236}">
              <a16:creationId xmlns:a16="http://schemas.microsoft.com/office/drawing/2014/main" xmlns="" id="{B403A251-9EDF-4EB3-A0DF-53BE1751442B}"/>
            </a:ext>
          </a:extLst>
        </xdr:cNvPr>
        <xdr:cNvSpPr txBox="1"/>
      </xdr:nvSpPr>
      <xdr:spPr>
        <a:xfrm>
          <a:off x="0" y="10668000"/>
          <a:ext cx="7800593" cy="66751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xdr:from>
      <xdr:col>10</xdr:col>
      <xdr:colOff>165100</xdr:colOff>
      <xdr:row>56</xdr:row>
      <xdr:rowOff>155448</xdr:rowOff>
    </xdr:from>
    <xdr:to>
      <xdr:col>12</xdr:col>
      <xdr:colOff>152908</xdr:colOff>
      <xdr:row>58</xdr:row>
      <xdr:rowOff>131064</xdr:rowOff>
    </xdr:to>
    <xdr:sp macro="" textlink="">
      <xdr:nvSpPr>
        <xdr:cNvPr id="8" name="txt_WalkMeNext" descr="Next">
          <a:hlinkClick xmlns:r="http://schemas.openxmlformats.org/officeDocument/2006/relationships" r:id="rId3" tooltip="Click here to go to the next sheet"/>
          <a:extLst>
            <a:ext uri="{FF2B5EF4-FFF2-40B4-BE49-F238E27FC236}">
              <a16:creationId xmlns:a16="http://schemas.microsoft.com/office/drawing/2014/main" xmlns="" id="{8F0DDE7E-97D8-4996-BB35-E163C905E79D}"/>
            </a:ext>
          </a:extLst>
        </xdr:cNvPr>
        <xdr:cNvSpPr/>
      </xdr:nvSpPr>
      <xdr:spPr>
        <a:xfrm>
          <a:off x="6280150" y="10823448"/>
          <a:ext cx="1207008" cy="3566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xdr:from>
      <xdr:col>0</xdr:col>
      <xdr:colOff>304800</xdr:colOff>
      <xdr:row>56</xdr:row>
      <xdr:rowOff>155448</xdr:rowOff>
    </xdr:from>
    <xdr:to>
      <xdr:col>2</xdr:col>
      <xdr:colOff>292608</xdr:colOff>
      <xdr:row>58</xdr:row>
      <xdr:rowOff>131064</xdr:rowOff>
    </xdr:to>
    <xdr:sp macro="" textlink="">
      <xdr:nvSpPr>
        <xdr:cNvPr id="9" name="txt_WalkMePrevious" descr="Previous">
          <a:hlinkClick xmlns:r="http://schemas.openxmlformats.org/officeDocument/2006/relationships" r:id="rId4" tooltip="Click here to go back to the previous sheet"/>
          <a:extLst>
            <a:ext uri="{FF2B5EF4-FFF2-40B4-BE49-F238E27FC236}">
              <a16:creationId xmlns:a16="http://schemas.microsoft.com/office/drawing/2014/main" xmlns="" id="{D7B07658-6960-46E3-A1DF-B4F3A410DB88}"/>
            </a:ext>
          </a:extLst>
        </xdr:cNvPr>
        <xdr:cNvSpPr/>
      </xdr:nvSpPr>
      <xdr:spPr>
        <a:xfrm flipH="1">
          <a:off x="304800" y="10823448"/>
          <a:ext cx="1207008" cy="3566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xdr:twoCellAnchor>
  <xdr:twoCellAnchor>
    <xdr:from>
      <xdr:col>5</xdr:col>
      <xdr:colOff>243839</xdr:colOff>
      <xdr:row>58</xdr:row>
      <xdr:rowOff>94487</xdr:rowOff>
    </xdr:from>
    <xdr:to>
      <xdr:col>7</xdr:col>
      <xdr:colOff>222503</xdr:colOff>
      <xdr:row>59</xdr:row>
      <xdr:rowOff>96012</xdr:rowOff>
    </xdr:to>
    <xdr:sp macro="" textlink="">
      <xdr:nvSpPr>
        <xdr:cNvPr id="10" name="txt_WalkMeFeedback" descr="Feedback">
          <a:hlinkClick xmlns:r="http://schemas.openxmlformats.org/officeDocument/2006/relationships" r:id="rId5" tooltip="Click to give us feedback on this tutorial"/>
          <a:extLst>
            <a:ext uri="{FF2B5EF4-FFF2-40B4-BE49-F238E27FC236}">
              <a16:creationId xmlns:a16="http://schemas.microsoft.com/office/drawing/2014/main" xmlns="" id="{062BE056-3B30-450D-80EF-FAE8243B332B}"/>
            </a:ext>
          </a:extLst>
        </xdr:cNvPr>
        <xdr:cNvSpPr/>
      </xdr:nvSpPr>
      <xdr:spPr>
        <a:xfrm>
          <a:off x="3310889" y="11143487"/>
          <a:ext cx="1197864" cy="192025"/>
        </a:xfrm>
        <a:prstGeom prst="rect">
          <a:avLst/>
        </a:prstGeom>
        <a:solidFill>
          <a:schemeClr val="bg1">
            <a:lumMod val="85000"/>
          </a:schemeClr>
        </a:solidFill>
        <a:ln>
          <a:no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100" u="sng">
              <a:solidFill>
                <a:sysClr val="windowText" lastClr="000000"/>
              </a:solidFill>
              <a:latin typeface="Segoe UI" pitchFamily="34" charset="0"/>
              <a:ea typeface="Segoe UI" pitchFamily="34" charset="0"/>
              <a:cs typeface="Segoe UI" pitchFamily="34" charset="0"/>
            </a:rPr>
            <a:t>Feedback</a:t>
          </a:r>
        </a:p>
      </xdr:txBody>
    </xdr:sp>
    <xdr:clientData/>
  </xdr:twoCellAnchor>
</xdr:wsDr>
</file>

<file path=xl/drawings/drawing21.xml><?xml version="1.0" encoding="utf-8"?>
<xdr:wsDr xmlns:xdr="http://schemas.openxmlformats.org/drawingml/2006/spreadsheetDrawing" xmlns:a="http://schemas.openxmlformats.org/drawingml/2006/main">
  <xdr:twoCellAnchor editAs="absolute">
    <xdr:from>
      <xdr:col>0</xdr:col>
      <xdr:colOff>481615</xdr:colOff>
      <xdr:row>3</xdr:row>
      <xdr:rowOff>7515</xdr:rowOff>
    </xdr:from>
    <xdr:to>
      <xdr:col>2</xdr:col>
      <xdr:colOff>367315</xdr:colOff>
      <xdr:row>10</xdr:row>
      <xdr:rowOff>45615</xdr:rowOff>
    </xdr:to>
    <xdr:sp macro="" textlink="" fLocksText="0">
      <xdr:nvSpPr>
        <xdr:cNvPr id="4" name="txt_Practice1" descr="We made the PivotTable below based on the previous sheet's data. Click anywhere inside the PivotTable below. ">
          <a:extLst>
            <a:ext uri="{FF2B5EF4-FFF2-40B4-BE49-F238E27FC236}">
              <a16:creationId xmlns:a16="http://schemas.microsoft.com/office/drawing/2014/main" xmlns="" id="{72BF67E5-01C5-4639-BB90-719974573099}"/>
            </a:ext>
          </a:extLst>
        </xdr:cNvPr>
        <xdr:cNvSpPr txBox="1"/>
      </xdr:nvSpPr>
      <xdr:spPr>
        <a:xfrm>
          <a:off x="481615" y="588540"/>
          <a:ext cx="1371600" cy="1371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We made the PivotTable below based on the previous sheet's data. Click anywhere inside the PivotTable below. </a:t>
          </a:r>
        </a:p>
      </xdr:txBody>
    </xdr:sp>
    <xdr:clientData/>
  </xdr:twoCellAnchor>
  <xdr:twoCellAnchor editAs="absolute">
    <xdr:from>
      <xdr:col>2</xdr:col>
      <xdr:colOff>770527</xdr:colOff>
      <xdr:row>3</xdr:row>
      <xdr:rowOff>7515</xdr:rowOff>
    </xdr:from>
    <xdr:to>
      <xdr:col>4</xdr:col>
      <xdr:colOff>370477</xdr:colOff>
      <xdr:row>10</xdr:row>
      <xdr:rowOff>45615</xdr:rowOff>
    </xdr:to>
    <xdr:sp macro="" textlink="" fLocksText="0">
      <xdr:nvSpPr>
        <xdr:cNvPr id="5" name="txt_Practice2" descr="Do you see the PivotTable Fields list on the right? Good! (If you don't see it, right-click the PivotTable below and choose Show Field List.">
          <a:extLst>
            <a:ext uri="{FF2B5EF4-FFF2-40B4-BE49-F238E27FC236}">
              <a16:creationId xmlns:a16="http://schemas.microsoft.com/office/drawing/2014/main" xmlns="" id="{29F2BD57-0DF2-4B3F-967F-0A8110FCAE3E}"/>
            </a:ext>
          </a:extLst>
        </xdr:cNvPr>
        <xdr:cNvSpPr txBox="1"/>
      </xdr:nvSpPr>
      <xdr:spPr>
        <a:xfrm>
          <a:off x="2256427" y="588540"/>
          <a:ext cx="1371600" cy="1371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eaLnBrk="1" fontAlgn="auto" latinLnBrk="0" hangingPunct="1"/>
          <a:r>
            <a:rPr lang="en-US" sz="1000" b="0" i="0" kern="1200" baseline="0">
              <a:solidFill>
                <a:schemeClr val="dk1"/>
              </a:solidFill>
              <a:effectLst/>
              <a:latin typeface="Segoe UI" panose="020B0502040204020203" pitchFamily="34" charset="0"/>
              <a:ea typeface="+mn-ea"/>
              <a:cs typeface="Segoe UI" panose="020B0502040204020203" pitchFamily="34" charset="0"/>
            </a:rPr>
            <a:t>Do you see the PivotTable Fields list on the right? Good! (If you don't see it, </a:t>
          </a:r>
          <a:br>
            <a:rPr lang="en-US" sz="1000" b="0" i="0" kern="1200" baseline="0">
              <a:solidFill>
                <a:schemeClr val="dk1"/>
              </a:solidFill>
              <a:effectLst/>
              <a:latin typeface="Segoe UI" panose="020B0502040204020203" pitchFamily="34" charset="0"/>
              <a:ea typeface="+mn-ea"/>
              <a:cs typeface="Segoe UI" panose="020B0502040204020203" pitchFamily="34" charset="0"/>
            </a:rPr>
          </a:br>
          <a:r>
            <a:rPr lang="en-US" sz="1000" b="0" i="0" kern="1200" baseline="0">
              <a:solidFill>
                <a:schemeClr val="dk1"/>
              </a:solidFill>
              <a:effectLst/>
              <a:latin typeface="Segoe UI" panose="020B0502040204020203" pitchFamily="34" charset="0"/>
              <a:ea typeface="+mn-ea"/>
              <a:cs typeface="Segoe UI" panose="020B0502040204020203" pitchFamily="34" charset="0"/>
            </a:rPr>
            <a:t>right-click the PivotTable below and choose </a:t>
          </a:r>
          <a:r>
            <a:rPr lang="en-US" sz="1000" b="1" i="0" kern="1200" baseline="0">
              <a:solidFill>
                <a:schemeClr val="dk1"/>
              </a:solidFill>
              <a:effectLst/>
              <a:latin typeface="Segoe UI" panose="020B0502040204020203" pitchFamily="34" charset="0"/>
              <a:ea typeface="+mn-ea"/>
              <a:cs typeface="Segoe UI" panose="020B0502040204020203" pitchFamily="34" charset="0"/>
            </a:rPr>
            <a:t>Show Field List</a:t>
          </a:r>
          <a:r>
            <a:rPr lang="en-US" sz="1000" b="0" i="0" kern="1200" baseline="0">
              <a:solidFill>
                <a:schemeClr val="dk1"/>
              </a:solidFill>
              <a:effectLst/>
              <a:latin typeface="Segoe UI" panose="020B0502040204020203" pitchFamily="34" charset="0"/>
              <a:ea typeface="+mn-ea"/>
              <a:cs typeface="Segoe UI" panose="020B0502040204020203" pitchFamily="34" charset="0"/>
            </a:rPr>
            <a:t>.)</a:t>
          </a:r>
          <a:endParaRPr lang="sq-AL" sz="1000" b="0">
            <a:effectLst/>
            <a:latin typeface="Segoe UI" panose="020B0502040204020203" pitchFamily="34" charset="0"/>
            <a:cs typeface="Segoe UI" panose="020B0502040204020203" pitchFamily="34" charset="0"/>
          </a:endParaRPr>
        </a:p>
      </xdr:txBody>
    </xdr:sp>
    <xdr:clientData/>
  </xdr:twoCellAnchor>
  <xdr:twoCellAnchor editAs="absolute">
    <xdr:from>
      <xdr:col>5</xdr:col>
      <xdr:colOff>249214</xdr:colOff>
      <xdr:row>3</xdr:row>
      <xdr:rowOff>7515</xdr:rowOff>
    </xdr:from>
    <xdr:to>
      <xdr:col>7</xdr:col>
      <xdr:colOff>130151</xdr:colOff>
      <xdr:row>10</xdr:row>
      <xdr:rowOff>45615</xdr:rowOff>
    </xdr:to>
    <xdr:sp macro="" textlink="" fLocksText="0">
      <xdr:nvSpPr>
        <xdr:cNvPr id="6" name="txt_Practice3" descr="In the field list, drag the Sales rep field to either Rows or Columns so that you can answer: Who sold the most during the fall?">
          <a:extLst>
            <a:ext uri="{FF2B5EF4-FFF2-40B4-BE49-F238E27FC236}">
              <a16:creationId xmlns:a16="http://schemas.microsoft.com/office/drawing/2014/main" xmlns="" id="{85395BF3-BC0C-4171-8401-993AF1C2671B}"/>
            </a:ext>
          </a:extLst>
        </xdr:cNvPr>
        <xdr:cNvSpPr txBox="1"/>
      </xdr:nvSpPr>
      <xdr:spPr>
        <a:xfrm>
          <a:off x="4111601" y="588540"/>
          <a:ext cx="1371600" cy="1371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eaLnBrk="1" fontAlgn="auto" latinLnBrk="0" hangingPunct="1"/>
          <a:r>
            <a:rPr lang="en-US" sz="1000" b="0" i="0" kern="1200" baseline="0">
              <a:solidFill>
                <a:schemeClr val="dk1"/>
              </a:solidFill>
              <a:effectLst/>
              <a:latin typeface="Segoe UI" panose="020B0502040204020203" pitchFamily="34" charset="0"/>
              <a:ea typeface="+mn-ea"/>
              <a:cs typeface="Segoe UI" panose="020B0502040204020203" pitchFamily="34" charset="0"/>
            </a:rPr>
            <a:t>In the field list, drag the</a:t>
          </a:r>
          <a:r>
            <a:rPr lang="en-US" sz="1000" b="1" i="0" kern="1200" baseline="0">
              <a:solidFill>
                <a:schemeClr val="dk1"/>
              </a:solidFill>
              <a:effectLst/>
              <a:latin typeface="Segoe UI" panose="020B0502040204020203" pitchFamily="34" charset="0"/>
              <a:ea typeface="+mn-ea"/>
              <a:cs typeface="Segoe UI" panose="020B0502040204020203" pitchFamily="34" charset="0"/>
            </a:rPr>
            <a:t> Sales rep </a:t>
          </a:r>
          <a:r>
            <a:rPr lang="en-US" sz="1000" b="0" i="0" kern="1200" baseline="0">
              <a:solidFill>
                <a:schemeClr val="dk1"/>
              </a:solidFill>
              <a:effectLst/>
              <a:latin typeface="Segoe UI" panose="020B0502040204020203" pitchFamily="34" charset="0"/>
              <a:ea typeface="+mn-ea"/>
              <a:cs typeface="Segoe UI" panose="020B0502040204020203" pitchFamily="34" charset="0"/>
            </a:rPr>
            <a:t>field</a:t>
          </a:r>
          <a:r>
            <a:rPr lang="en-US" sz="1000" b="1" i="0" kern="1200" baseline="0">
              <a:solidFill>
                <a:schemeClr val="dk1"/>
              </a:solidFill>
              <a:effectLst/>
              <a:latin typeface="Segoe UI" panose="020B0502040204020203" pitchFamily="34" charset="0"/>
              <a:ea typeface="+mn-ea"/>
              <a:cs typeface="Segoe UI" panose="020B0502040204020203" pitchFamily="34" charset="0"/>
            </a:rPr>
            <a:t> </a:t>
          </a:r>
          <a:r>
            <a:rPr lang="en-US" sz="1000" b="0" i="0" kern="1200" baseline="0">
              <a:solidFill>
                <a:schemeClr val="dk1"/>
              </a:solidFill>
              <a:effectLst/>
              <a:latin typeface="Segoe UI" panose="020B0502040204020203" pitchFamily="34" charset="0"/>
              <a:ea typeface="+mn-ea"/>
              <a:cs typeface="Segoe UI" panose="020B0502040204020203" pitchFamily="34" charset="0"/>
            </a:rPr>
            <a:t>to either </a:t>
          </a:r>
          <a:r>
            <a:rPr lang="en-US" sz="1000" b="1" i="0" kern="1200" baseline="0">
              <a:solidFill>
                <a:schemeClr val="dk1"/>
              </a:solidFill>
              <a:effectLst/>
              <a:latin typeface="Segoe UI" panose="020B0502040204020203" pitchFamily="34" charset="0"/>
              <a:ea typeface="+mn-ea"/>
              <a:cs typeface="Segoe UI" panose="020B0502040204020203" pitchFamily="34" charset="0"/>
            </a:rPr>
            <a:t>Rows</a:t>
          </a:r>
          <a:r>
            <a:rPr lang="en-US" sz="1000" b="0" i="0" kern="1200" baseline="0">
              <a:solidFill>
                <a:schemeClr val="dk1"/>
              </a:solidFill>
              <a:effectLst/>
              <a:latin typeface="Segoe UI" panose="020B0502040204020203" pitchFamily="34" charset="0"/>
              <a:ea typeface="+mn-ea"/>
              <a:cs typeface="Segoe UI" panose="020B0502040204020203" pitchFamily="34" charset="0"/>
            </a:rPr>
            <a:t> or </a:t>
          </a:r>
          <a:r>
            <a:rPr lang="en-US" sz="1000" b="1" i="0" kern="1200" baseline="0">
              <a:solidFill>
                <a:schemeClr val="dk1"/>
              </a:solidFill>
              <a:effectLst/>
              <a:latin typeface="Segoe UI" panose="020B0502040204020203" pitchFamily="34" charset="0"/>
              <a:ea typeface="+mn-ea"/>
              <a:cs typeface="Segoe UI" panose="020B0502040204020203" pitchFamily="34" charset="0"/>
            </a:rPr>
            <a:t>Columns</a:t>
          </a:r>
          <a:r>
            <a:rPr lang="en-US" sz="1000" b="0" i="0" kern="1200" baseline="0">
              <a:solidFill>
                <a:schemeClr val="dk1"/>
              </a:solidFill>
              <a:effectLst/>
              <a:latin typeface="Segoe UI" panose="020B0502040204020203" pitchFamily="34" charset="0"/>
              <a:ea typeface="+mn-ea"/>
              <a:cs typeface="Segoe UI" panose="020B0502040204020203" pitchFamily="34" charset="0"/>
            </a:rPr>
            <a:t> so that you can answer: Who sold the most during the fall?</a:t>
          </a:r>
          <a:endParaRPr lang="en-US" sz="1000">
            <a:effectLst/>
            <a:latin typeface="Segoe UI" panose="020B0502040204020203" pitchFamily="34" charset="0"/>
            <a:cs typeface="Segoe UI" panose="020B0502040204020203" pitchFamily="34" charset="0"/>
          </a:endParaRPr>
        </a:p>
      </xdr:txBody>
    </xdr:sp>
    <xdr:clientData/>
  </xdr:twoCellAnchor>
  <xdr:twoCellAnchor editAs="absolute">
    <xdr:from>
      <xdr:col>0</xdr:col>
      <xdr:colOff>76085</xdr:colOff>
      <xdr:row>3</xdr:row>
      <xdr:rowOff>7516</xdr:rowOff>
    </xdr:from>
    <xdr:to>
      <xdr:col>0</xdr:col>
      <xdr:colOff>450989</xdr:colOff>
      <xdr:row>5</xdr:row>
      <xdr:rowOff>1420</xdr:rowOff>
    </xdr:to>
    <xdr:sp macro="" textlink="" fLocksText="0">
      <xdr:nvSpPr>
        <xdr:cNvPr id="7" name="shp_Practice1" descr="Step 1">
          <a:extLst>
            <a:ext uri="{FF2B5EF4-FFF2-40B4-BE49-F238E27FC236}">
              <a16:creationId xmlns:a16="http://schemas.microsoft.com/office/drawing/2014/main" xmlns="" id="{F0AE661B-4AB6-4138-BFC2-72C570F368E3}"/>
            </a:ext>
          </a:extLst>
        </xdr:cNvPr>
        <xdr:cNvSpPr/>
      </xdr:nvSpPr>
      <xdr:spPr>
        <a:xfrm>
          <a:off x="76085" y="579016"/>
          <a:ext cx="37490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clientData/>
  </xdr:twoCellAnchor>
  <xdr:twoCellAnchor editAs="absolute">
    <xdr:from>
      <xdr:col>2</xdr:col>
      <xdr:colOff>424748</xdr:colOff>
      <xdr:row>3</xdr:row>
      <xdr:rowOff>7515</xdr:rowOff>
    </xdr:from>
    <xdr:to>
      <xdr:col>2</xdr:col>
      <xdr:colOff>799652</xdr:colOff>
      <xdr:row>5</xdr:row>
      <xdr:rowOff>1419</xdr:rowOff>
    </xdr:to>
    <xdr:sp macro="" textlink="" fLocksText="0">
      <xdr:nvSpPr>
        <xdr:cNvPr id="8" name="shp_Practice2" descr="Step 2">
          <a:extLst>
            <a:ext uri="{FF2B5EF4-FFF2-40B4-BE49-F238E27FC236}">
              <a16:creationId xmlns:a16="http://schemas.microsoft.com/office/drawing/2014/main" xmlns="" id="{A2AF9C50-C7DA-4A24-8F37-46DCE095E146}"/>
            </a:ext>
          </a:extLst>
        </xdr:cNvPr>
        <xdr:cNvSpPr/>
      </xdr:nvSpPr>
      <xdr:spPr>
        <a:xfrm>
          <a:off x="1910648" y="579015"/>
          <a:ext cx="37490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clientData/>
  </xdr:twoCellAnchor>
  <xdr:twoCellAnchor editAs="absolute">
    <xdr:from>
      <xdr:col>4</xdr:col>
      <xdr:colOff>487660</xdr:colOff>
      <xdr:row>3</xdr:row>
      <xdr:rowOff>7515</xdr:rowOff>
    </xdr:from>
    <xdr:to>
      <xdr:col>5</xdr:col>
      <xdr:colOff>310114</xdr:colOff>
      <xdr:row>5</xdr:row>
      <xdr:rowOff>1419</xdr:rowOff>
    </xdr:to>
    <xdr:sp macro="" textlink="" fLocksText="0">
      <xdr:nvSpPr>
        <xdr:cNvPr id="9" name="shp_Practice3" descr="Step 3">
          <a:extLst>
            <a:ext uri="{FF2B5EF4-FFF2-40B4-BE49-F238E27FC236}">
              <a16:creationId xmlns:a16="http://schemas.microsoft.com/office/drawing/2014/main" xmlns="" id="{F5C1D9B6-7583-4C69-AEAF-9BB097F2D602}"/>
            </a:ext>
          </a:extLst>
        </xdr:cNvPr>
        <xdr:cNvSpPr/>
      </xdr:nvSpPr>
      <xdr:spPr>
        <a:xfrm>
          <a:off x="3764260" y="579015"/>
          <a:ext cx="37490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clientData/>
  </xdr:twoCellAnchor>
  <xdr:twoCellAnchor editAs="absolute">
    <xdr:from>
      <xdr:col>0</xdr:col>
      <xdr:colOff>0</xdr:colOff>
      <xdr:row>0</xdr:row>
      <xdr:rowOff>0</xdr:rowOff>
    </xdr:from>
    <xdr:to>
      <xdr:col>11</xdr:col>
      <xdr:colOff>494918</xdr:colOff>
      <xdr:row>2</xdr:row>
      <xdr:rowOff>11811</xdr:rowOff>
    </xdr:to>
    <xdr:sp macro="" textlink="" fLocksText="0">
      <xdr:nvSpPr>
        <xdr:cNvPr id="10" name="txt_PracticeHeader" descr="Practice">
          <a:extLst>
            <a:ext uri="{FF2B5EF4-FFF2-40B4-BE49-F238E27FC236}">
              <a16:creationId xmlns:a16="http://schemas.microsoft.com/office/drawing/2014/main" xmlns="" id="{F1FEE4DA-410F-43E5-82EC-9DEA325362D3}"/>
            </a:ext>
          </a:extLst>
        </xdr:cNvPr>
        <xdr:cNvSpPr txBox="1"/>
      </xdr:nvSpPr>
      <xdr:spPr>
        <a:xfrm>
          <a:off x="0" y="0"/>
          <a:ext cx="7781543" cy="402336"/>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800" b="1" kern="0" baseline="0">
              <a:solidFill>
                <a:schemeClr val="bg1"/>
              </a:solidFill>
              <a:latin typeface="Segoe UI Semibold" panose="020B0702040204020203" pitchFamily="34" charset="0"/>
              <a:ea typeface="Segoe UI" pitchFamily="34" charset="0"/>
              <a:cs typeface="Segoe UI Semibold" panose="020B0702040204020203" pitchFamily="34" charset="0"/>
            </a:rPr>
            <a:t>Practice</a:t>
          </a:r>
          <a:endParaRPr lang="en-US" sz="1800">
            <a:solidFill>
              <a:schemeClr val="bg1"/>
            </a:solidFill>
            <a:latin typeface="Segoe UI Semibold" panose="020B0702040204020203" pitchFamily="34" charset="0"/>
            <a:ea typeface="Segoe UI" pitchFamily="34" charset="0"/>
            <a:cs typeface="Segoe UI Light" panose="020B0502040204020203" pitchFamily="34" charset="0"/>
          </a:endParaRPr>
        </a:p>
      </xdr:txBody>
    </xdr:sp>
    <xdr:clientData/>
  </xdr:twoCellAnchor>
  <xdr:twoCellAnchor editAs="absolute">
    <xdr:from>
      <xdr:col>9</xdr:col>
      <xdr:colOff>233385</xdr:colOff>
      <xdr:row>3</xdr:row>
      <xdr:rowOff>79574</xdr:rowOff>
    </xdr:from>
    <xdr:to>
      <xdr:col>12</xdr:col>
      <xdr:colOff>203026</xdr:colOff>
      <xdr:row>5</xdr:row>
      <xdr:rowOff>161925</xdr:rowOff>
    </xdr:to>
    <xdr:sp macro="" textlink="" fLocksText="0">
      <xdr:nvSpPr>
        <xdr:cNvPr id="13" name="txt_Practice4" descr="Who sold the most during the fall?">
          <a:extLst>
            <a:ext uri="{FF2B5EF4-FFF2-40B4-BE49-F238E27FC236}">
              <a16:creationId xmlns:a16="http://schemas.microsoft.com/office/drawing/2014/main" xmlns="" id="{B109D2BB-3DC5-45B1-8B7F-5CE568B810DC}"/>
            </a:ext>
          </a:extLst>
        </xdr:cNvPr>
        <xdr:cNvSpPr txBox="1"/>
      </xdr:nvSpPr>
      <xdr:spPr>
        <a:xfrm>
          <a:off x="6515122" y="660599"/>
          <a:ext cx="1469829" cy="4633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Who sold the most during the fall?</a:t>
          </a:r>
        </a:p>
      </xdr:txBody>
    </xdr:sp>
    <xdr:clientData/>
  </xdr:twoCellAnchor>
  <xdr:twoCellAnchor editAs="absolute">
    <xdr:from>
      <xdr:col>8</xdr:col>
      <xdr:colOff>288860</xdr:colOff>
      <xdr:row>3</xdr:row>
      <xdr:rowOff>28086</xdr:rowOff>
    </xdr:from>
    <xdr:to>
      <xdr:col>9</xdr:col>
      <xdr:colOff>254189</xdr:colOff>
      <xdr:row>5</xdr:row>
      <xdr:rowOff>21990</xdr:rowOff>
    </xdr:to>
    <xdr:sp macro="" textlink="" fLocksText="0">
      <xdr:nvSpPr>
        <xdr:cNvPr id="14" name="shp_Practice4" descr="Step 4">
          <a:extLst>
            <a:ext uri="{FF2B5EF4-FFF2-40B4-BE49-F238E27FC236}">
              <a16:creationId xmlns:a16="http://schemas.microsoft.com/office/drawing/2014/main" xmlns="" id="{B2513FDA-A809-4930-875A-18AE4B4CF612}"/>
            </a:ext>
          </a:extLst>
        </xdr:cNvPr>
        <xdr:cNvSpPr/>
      </xdr:nvSpPr>
      <xdr:spPr>
        <a:xfrm>
          <a:off x="6127685" y="599586"/>
          <a:ext cx="37490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clientData/>
  </xdr:twoCellAnchor>
  <xdr:twoCellAnchor editAs="absolute">
    <xdr:from>
      <xdr:col>0</xdr:col>
      <xdr:colOff>0</xdr:colOff>
      <xdr:row>30</xdr:row>
      <xdr:rowOff>0</xdr:rowOff>
    </xdr:from>
    <xdr:to>
      <xdr:col>11</xdr:col>
      <xdr:colOff>494918</xdr:colOff>
      <xdr:row>33</xdr:row>
      <xdr:rowOff>96012</xdr:rowOff>
    </xdr:to>
    <xdr:sp macro="" textlink="" fLocksText="0">
      <xdr:nvSpPr>
        <xdr:cNvPr id="19" name="txt_PracticeFooter">
          <a:extLst>
            <a:ext uri="{FF2B5EF4-FFF2-40B4-BE49-F238E27FC236}">
              <a16:creationId xmlns:a16="http://schemas.microsoft.com/office/drawing/2014/main" xmlns="" id="{C3E4D879-E1FC-43A8-AA7F-0ED3F35B9E4E}"/>
            </a:ext>
          </a:extLst>
        </xdr:cNvPr>
        <xdr:cNvSpPr txBox="1"/>
      </xdr:nvSpPr>
      <xdr:spPr>
        <a:xfrm>
          <a:off x="0" y="5715000"/>
          <a:ext cx="7762493" cy="66751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4</xdr:col>
      <xdr:colOff>5714</xdr:colOff>
      <xdr:row>32</xdr:row>
      <xdr:rowOff>94488</xdr:rowOff>
    </xdr:from>
    <xdr:to>
      <xdr:col>5</xdr:col>
      <xdr:colOff>679703</xdr:colOff>
      <xdr:row>33</xdr:row>
      <xdr:rowOff>96012</xdr:rowOff>
    </xdr:to>
    <xdr:sp macro="" textlink="" fLocksText="0">
      <xdr:nvSpPr>
        <xdr:cNvPr id="20" name="txt_PracticeFeedback" descr="Feedback button, hyperlinked to web form">
          <a:hlinkClick xmlns:r="http://schemas.openxmlformats.org/officeDocument/2006/relationships" r:id="rId1" tooltip="Click to give us feedback on this tutorial"/>
          <a:extLst>
            <a:ext uri="{FF2B5EF4-FFF2-40B4-BE49-F238E27FC236}">
              <a16:creationId xmlns:a16="http://schemas.microsoft.com/office/drawing/2014/main" xmlns="" id="{9B238ADF-BEE7-435D-AD65-19E4C1195F97}"/>
            </a:ext>
          </a:extLst>
        </xdr:cNvPr>
        <xdr:cNvSpPr/>
      </xdr:nvSpPr>
      <xdr:spPr>
        <a:xfrm>
          <a:off x="3282314" y="6190488"/>
          <a:ext cx="1226439" cy="192024"/>
        </a:xfrm>
        <a:prstGeom prst="rect">
          <a:avLst/>
        </a:prstGeom>
        <a:solidFill>
          <a:schemeClr val="bg1">
            <a:lumMod val="85000"/>
          </a:schemeClr>
        </a:solidFill>
        <a:ln>
          <a:no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100" u="sng">
              <a:solidFill>
                <a:sysClr val="windowText" lastClr="000000"/>
              </a:solidFill>
              <a:latin typeface="Segoe UI" pitchFamily="34" charset="0"/>
              <a:ea typeface="Segoe UI" pitchFamily="34" charset="0"/>
              <a:cs typeface="Segoe UI" pitchFamily="34" charset="0"/>
            </a:rPr>
            <a:t>Feedback</a:t>
          </a:r>
        </a:p>
      </xdr:txBody>
    </xdr:sp>
    <xdr:clientData/>
  </xdr:twoCellAnchor>
  <xdr:twoCellAnchor editAs="absolute">
    <xdr:from>
      <xdr:col>9</xdr:col>
      <xdr:colOff>31750</xdr:colOff>
      <xdr:row>30</xdr:row>
      <xdr:rowOff>155448</xdr:rowOff>
    </xdr:from>
    <xdr:to>
      <xdr:col>11</xdr:col>
      <xdr:colOff>219583</xdr:colOff>
      <xdr:row>32</xdr:row>
      <xdr:rowOff>131064</xdr:rowOff>
    </xdr:to>
    <xdr:sp macro="" textlink="" fLocksText="0">
      <xdr:nvSpPr>
        <xdr:cNvPr id="21" name="txt_PracticeNext" descr="Next step button, hyperlinked to next sheet">
          <a:hlinkClick xmlns:r="http://schemas.openxmlformats.org/officeDocument/2006/relationships" r:id="rId2" tooltip="Click here to go to the next sheet"/>
          <a:extLst>
            <a:ext uri="{FF2B5EF4-FFF2-40B4-BE49-F238E27FC236}">
              <a16:creationId xmlns:a16="http://schemas.microsoft.com/office/drawing/2014/main" xmlns="" id="{9128025C-F5EF-4C4F-AA3F-82C05E585C0F}"/>
            </a:ext>
          </a:extLst>
        </xdr:cNvPr>
        <xdr:cNvSpPr/>
      </xdr:nvSpPr>
      <xdr:spPr>
        <a:xfrm>
          <a:off x="6280150" y="5870448"/>
          <a:ext cx="1207008" cy="3566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0</xdr:col>
      <xdr:colOff>304800</xdr:colOff>
      <xdr:row>30</xdr:row>
      <xdr:rowOff>155448</xdr:rowOff>
    </xdr:from>
    <xdr:to>
      <xdr:col>2</xdr:col>
      <xdr:colOff>25908</xdr:colOff>
      <xdr:row>32</xdr:row>
      <xdr:rowOff>131064</xdr:rowOff>
    </xdr:to>
    <xdr:sp macro="" textlink="" fLocksText="0">
      <xdr:nvSpPr>
        <xdr:cNvPr id="22" name="txt_PracticePrevious" descr="Previous step button, hyperlinked to previous sheet">
          <a:hlinkClick xmlns:r="http://schemas.openxmlformats.org/officeDocument/2006/relationships" r:id="rId3" tooltip="Click here to go back to the previous sheet"/>
          <a:extLst>
            <a:ext uri="{FF2B5EF4-FFF2-40B4-BE49-F238E27FC236}">
              <a16:creationId xmlns:a16="http://schemas.microsoft.com/office/drawing/2014/main" xmlns="" id="{038A736A-34F9-4DB1-9584-66D289361AE2}"/>
            </a:ext>
          </a:extLst>
        </xdr:cNvPr>
        <xdr:cNvSpPr/>
      </xdr:nvSpPr>
      <xdr:spPr>
        <a:xfrm flipH="1">
          <a:off x="304800" y="5870448"/>
          <a:ext cx="1207008" cy="3566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xdr:twoCellAnchor>
</xdr:wsDr>
</file>

<file path=xl/drawings/drawing22.xml><?xml version="1.0" encoding="utf-8"?>
<xdr:wsDr xmlns:xdr="http://schemas.openxmlformats.org/drawingml/2006/spreadsheetDrawing" xmlns:a="http://schemas.openxmlformats.org/drawingml/2006/main">
  <xdr:twoCellAnchor editAs="absolute">
    <xdr:from>
      <xdr:col>0</xdr:col>
      <xdr:colOff>0</xdr:colOff>
      <xdr:row>31</xdr:row>
      <xdr:rowOff>19038</xdr:rowOff>
    </xdr:from>
    <xdr:to>
      <xdr:col>11</xdr:col>
      <xdr:colOff>199643</xdr:colOff>
      <xdr:row>34</xdr:row>
      <xdr:rowOff>124575</xdr:rowOff>
    </xdr:to>
    <xdr:sp macro="" textlink="" fLocksText="0">
      <xdr:nvSpPr>
        <xdr:cNvPr id="3" name="txt_PracticeFooter">
          <a:extLst>
            <a:ext uri="{FF2B5EF4-FFF2-40B4-BE49-F238E27FC236}">
              <a16:creationId xmlns:a16="http://schemas.microsoft.com/office/drawing/2014/main" xmlns="" id="{5F7EDA0D-82B1-4E0A-9DF8-49F029764275}"/>
            </a:ext>
          </a:extLst>
        </xdr:cNvPr>
        <xdr:cNvSpPr txBox="1"/>
      </xdr:nvSpPr>
      <xdr:spPr>
        <a:xfrm>
          <a:off x="0" y="5924538"/>
          <a:ext cx="7610093" cy="677037"/>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3</xdr:col>
      <xdr:colOff>399910</xdr:colOff>
      <xdr:row>33</xdr:row>
      <xdr:rowOff>123051</xdr:rowOff>
    </xdr:from>
    <xdr:to>
      <xdr:col>5</xdr:col>
      <xdr:colOff>656982</xdr:colOff>
      <xdr:row>34</xdr:row>
      <xdr:rowOff>124575</xdr:rowOff>
    </xdr:to>
    <xdr:sp macro="" textlink="" fLocksText="0">
      <xdr:nvSpPr>
        <xdr:cNvPr id="4" name="txt_PracticeFeedback" descr="Feedback button, hyperlinked to web form">
          <a:hlinkClick xmlns:r="http://schemas.openxmlformats.org/officeDocument/2006/relationships" r:id="rId1" tooltip="Click to give us feedback on this tutorial"/>
          <a:extLst>
            <a:ext uri="{FF2B5EF4-FFF2-40B4-BE49-F238E27FC236}">
              <a16:creationId xmlns:a16="http://schemas.microsoft.com/office/drawing/2014/main" xmlns="" id="{4EFA1CA6-0C30-4A42-BB54-D206A5336D6F}"/>
            </a:ext>
          </a:extLst>
        </xdr:cNvPr>
        <xdr:cNvSpPr/>
      </xdr:nvSpPr>
      <xdr:spPr>
        <a:xfrm>
          <a:off x="3219310" y="6409551"/>
          <a:ext cx="1171472" cy="192024"/>
        </a:xfrm>
        <a:prstGeom prst="rect">
          <a:avLst/>
        </a:prstGeom>
        <a:solidFill>
          <a:schemeClr val="bg1">
            <a:lumMod val="85000"/>
          </a:schemeClr>
        </a:solidFill>
        <a:ln>
          <a:no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100" u="sng">
              <a:solidFill>
                <a:sysClr val="windowText" lastClr="000000"/>
              </a:solidFill>
              <a:latin typeface="Segoe UI" pitchFamily="34" charset="0"/>
              <a:ea typeface="Segoe UI" pitchFamily="34" charset="0"/>
              <a:cs typeface="Segoe UI" pitchFamily="34" charset="0"/>
            </a:rPr>
            <a:t>Feedback</a:t>
          </a:r>
        </a:p>
      </xdr:txBody>
    </xdr:sp>
    <xdr:clientData/>
  </xdr:twoCellAnchor>
  <xdr:twoCellAnchor editAs="absolute">
    <xdr:from>
      <xdr:col>0</xdr:col>
      <xdr:colOff>471004</xdr:colOff>
      <xdr:row>3</xdr:row>
      <xdr:rowOff>7515</xdr:rowOff>
    </xdr:from>
    <xdr:to>
      <xdr:col>2</xdr:col>
      <xdr:colOff>97884</xdr:colOff>
      <xdr:row>10</xdr:row>
      <xdr:rowOff>45615</xdr:rowOff>
    </xdr:to>
    <xdr:sp macro="" textlink="" fLocksText="0">
      <xdr:nvSpPr>
        <xdr:cNvPr id="5" name="txt_Practice1" descr="Click anywhere inside the PivotTable below named Sum of Units sold. ">
          <a:extLst>
            <a:ext uri="{FF2B5EF4-FFF2-40B4-BE49-F238E27FC236}">
              <a16:creationId xmlns:a16="http://schemas.microsoft.com/office/drawing/2014/main" xmlns="" id="{043E0E68-AF8E-4D07-9788-8F11AA0679CE}"/>
            </a:ext>
          </a:extLst>
        </xdr:cNvPr>
        <xdr:cNvSpPr txBox="1"/>
      </xdr:nvSpPr>
      <xdr:spPr>
        <a:xfrm>
          <a:off x="471004" y="588540"/>
          <a:ext cx="1341380" cy="1371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Click anywhere inside the PivotTable below named </a:t>
          </a:r>
          <a:r>
            <a:rPr kumimoji="0" lang="en-US" sz="10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 of Units sold</a:t>
          </a:r>
          <a:r>
            <a:rPr kumimoji="0" lang="en-US" sz="10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p>
      </xdr:txBody>
    </xdr:sp>
    <xdr:clientData/>
  </xdr:twoCellAnchor>
  <xdr:twoCellAnchor editAs="absolute">
    <xdr:from>
      <xdr:col>2</xdr:col>
      <xdr:colOff>492211</xdr:colOff>
      <xdr:row>3</xdr:row>
      <xdr:rowOff>7515</xdr:rowOff>
    </xdr:from>
    <xdr:to>
      <xdr:col>4</xdr:col>
      <xdr:colOff>223866</xdr:colOff>
      <xdr:row>10</xdr:row>
      <xdr:rowOff>45615</xdr:rowOff>
    </xdr:to>
    <xdr:sp macro="" textlink="" fLocksText="0">
      <xdr:nvSpPr>
        <xdr:cNvPr id="6" name="txt_Practice2" descr="Do you see the PivotTable Fields list on the right? Good! (If you don't see it, right-click the PivotTable and choose Show Field List.">
          <a:extLst>
            <a:ext uri="{FF2B5EF4-FFF2-40B4-BE49-F238E27FC236}">
              <a16:creationId xmlns:a16="http://schemas.microsoft.com/office/drawing/2014/main" xmlns="" id="{8399D3E0-A4FA-4AA2-8EBC-C75CB73A4ABA}"/>
            </a:ext>
          </a:extLst>
        </xdr:cNvPr>
        <xdr:cNvSpPr txBox="1"/>
      </xdr:nvSpPr>
      <xdr:spPr>
        <a:xfrm>
          <a:off x="2206711" y="588540"/>
          <a:ext cx="1341380" cy="1371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eaLnBrk="1" fontAlgn="auto" latinLnBrk="0" hangingPunct="1"/>
          <a:r>
            <a:rPr lang="en-US" sz="1000" b="0" i="0" kern="1200" baseline="0">
              <a:solidFill>
                <a:schemeClr val="dk1"/>
              </a:solidFill>
              <a:effectLst/>
              <a:latin typeface="Segoe UI" panose="020B0502040204020203" pitchFamily="34" charset="0"/>
              <a:ea typeface="+mn-ea"/>
              <a:cs typeface="Segoe UI" panose="020B0502040204020203" pitchFamily="34" charset="0"/>
            </a:rPr>
            <a:t>Do you see the PivotTable Fields list on the right? Good! (If you don't see it, </a:t>
          </a:r>
          <a:br>
            <a:rPr lang="en-US" sz="1000" b="0" i="0" kern="1200" baseline="0">
              <a:solidFill>
                <a:schemeClr val="dk1"/>
              </a:solidFill>
              <a:effectLst/>
              <a:latin typeface="Segoe UI" panose="020B0502040204020203" pitchFamily="34" charset="0"/>
              <a:ea typeface="+mn-ea"/>
              <a:cs typeface="Segoe UI" panose="020B0502040204020203" pitchFamily="34" charset="0"/>
            </a:rPr>
          </a:br>
          <a:r>
            <a:rPr lang="en-US" sz="1000" b="0" i="0" kern="1200" baseline="0">
              <a:solidFill>
                <a:schemeClr val="dk1"/>
              </a:solidFill>
              <a:effectLst/>
              <a:latin typeface="Segoe UI" panose="020B0502040204020203" pitchFamily="34" charset="0"/>
              <a:ea typeface="+mn-ea"/>
              <a:cs typeface="Segoe UI" panose="020B0502040204020203" pitchFamily="34" charset="0"/>
            </a:rPr>
            <a:t>right-click the PivotTable and choose </a:t>
          </a:r>
          <a:r>
            <a:rPr lang="en-US" sz="1000" b="1" i="0" kern="1200" baseline="0">
              <a:solidFill>
                <a:schemeClr val="dk1"/>
              </a:solidFill>
              <a:effectLst/>
              <a:latin typeface="Segoe UI" panose="020B0502040204020203" pitchFamily="34" charset="0"/>
              <a:ea typeface="+mn-ea"/>
              <a:cs typeface="Segoe UI" panose="020B0502040204020203" pitchFamily="34" charset="0"/>
            </a:rPr>
            <a:t>Show Field List</a:t>
          </a:r>
          <a:r>
            <a:rPr lang="en-US" sz="1000" b="0" i="0" kern="1200" baseline="0">
              <a:solidFill>
                <a:schemeClr val="dk1"/>
              </a:solidFill>
              <a:effectLst/>
              <a:latin typeface="Segoe UI" panose="020B0502040204020203" pitchFamily="34" charset="0"/>
              <a:ea typeface="+mn-ea"/>
              <a:cs typeface="Segoe UI" panose="020B0502040204020203" pitchFamily="34" charset="0"/>
            </a:rPr>
            <a:t>.)</a:t>
          </a:r>
          <a:endParaRPr lang="sq-AL" sz="1000">
            <a:effectLst/>
            <a:latin typeface="Segoe UI" panose="020B0502040204020203" pitchFamily="34" charset="0"/>
            <a:cs typeface="Segoe UI" panose="020B0502040204020203" pitchFamily="34" charset="0"/>
          </a:endParaRPr>
        </a:p>
      </xdr:txBody>
    </xdr:sp>
    <xdr:clientData/>
  </xdr:twoCellAnchor>
  <xdr:twoCellAnchor editAs="absolute">
    <xdr:from>
      <xdr:col>5</xdr:col>
      <xdr:colOff>287210</xdr:colOff>
      <xdr:row>3</xdr:row>
      <xdr:rowOff>7515</xdr:rowOff>
    </xdr:from>
    <xdr:to>
      <xdr:col>7</xdr:col>
      <xdr:colOff>314140</xdr:colOff>
      <xdr:row>10</xdr:row>
      <xdr:rowOff>45615</xdr:rowOff>
    </xdr:to>
    <xdr:sp macro="" textlink="" fLocksText="0">
      <xdr:nvSpPr>
        <xdr:cNvPr id="7" name="txt_Practice3" descr="Now drag the fields into place so that you make a vertical PivotTable that has seasons on the left, and the sales reps indented under the seasons.">
          <a:extLst>
            <a:ext uri="{FF2B5EF4-FFF2-40B4-BE49-F238E27FC236}">
              <a16:creationId xmlns:a16="http://schemas.microsoft.com/office/drawing/2014/main" xmlns="" id="{FD191D4B-919F-47B1-B784-E719132CE45F}"/>
            </a:ext>
          </a:extLst>
        </xdr:cNvPr>
        <xdr:cNvSpPr txBox="1"/>
      </xdr:nvSpPr>
      <xdr:spPr>
        <a:xfrm>
          <a:off x="4021010" y="588540"/>
          <a:ext cx="1341380" cy="1371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Now drag the fields into place so that you make a vertical PivotTable that has </a:t>
          </a:r>
          <a:r>
            <a:rPr kumimoji="0" lang="en-US" sz="10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Seasons</a:t>
          </a:r>
          <a:r>
            <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 on the left, and the </a:t>
          </a:r>
          <a:r>
            <a:rPr kumimoji="0" lang="en-US" sz="10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Sales reps</a:t>
          </a:r>
          <a:r>
            <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 indented under the seasons.</a:t>
          </a:r>
        </a:p>
      </xdr:txBody>
    </xdr:sp>
    <xdr:clientData/>
  </xdr:twoCellAnchor>
  <xdr:twoCellAnchor editAs="absolute">
    <xdr:from>
      <xdr:col>0</xdr:col>
      <xdr:colOff>74409</xdr:colOff>
      <xdr:row>3</xdr:row>
      <xdr:rowOff>7516</xdr:rowOff>
    </xdr:from>
    <xdr:to>
      <xdr:col>0</xdr:col>
      <xdr:colOff>441053</xdr:colOff>
      <xdr:row>5</xdr:row>
      <xdr:rowOff>1420</xdr:rowOff>
    </xdr:to>
    <xdr:sp macro="" textlink="" fLocksText="0">
      <xdr:nvSpPr>
        <xdr:cNvPr id="8" name="shp_Practice1" descr="Step 1">
          <a:extLst>
            <a:ext uri="{FF2B5EF4-FFF2-40B4-BE49-F238E27FC236}">
              <a16:creationId xmlns:a16="http://schemas.microsoft.com/office/drawing/2014/main" xmlns="" id="{91576576-AD61-4208-8581-55436E369672}"/>
            </a:ext>
          </a:extLst>
        </xdr:cNvPr>
        <xdr:cNvSpPr/>
      </xdr:nvSpPr>
      <xdr:spPr>
        <a:xfrm>
          <a:off x="74409" y="588541"/>
          <a:ext cx="36664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clientData/>
  </xdr:twoCellAnchor>
  <xdr:twoCellAnchor editAs="absolute">
    <xdr:from>
      <xdr:col>2</xdr:col>
      <xdr:colOff>154051</xdr:colOff>
      <xdr:row>3</xdr:row>
      <xdr:rowOff>7515</xdr:rowOff>
    </xdr:from>
    <xdr:to>
      <xdr:col>2</xdr:col>
      <xdr:colOff>520695</xdr:colOff>
      <xdr:row>5</xdr:row>
      <xdr:rowOff>1419</xdr:rowOff>
    </xdr:to>
    <xdr:sp macro="" textlink="" fLocksText="0">
      <xdr:nvSpPr>
        <xdr:cNvPr id="9" name="shp_Practice2" descr="Step 2">
          <a:extLst>
            <a:ext uri="{FF2B5EF4-FFF2-40B4-BE49-F238E27FC236}">
              <a16:creationId xmlns:a16="http://schemas.microsoft.com/office/drawing/2014/main" xmlns="" id="{4DE757FB-947C-4ADC-9EAB-6B0221411ADF}"/>
            </a:ext>
          </a:extLst>
        </xdr:cNvPr>
        <xdr:cNvSpPr/>
      </xdr:nvSpPr>
      <xdr:spPr>
        <a:xfrm>
          <a:off x="1868551" y="588540"/>
          <a:ext cx="36664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clientData/>
  </xdr:twoCellAnchor>
  <xdr:twoCellAnchor editAs="absolute">
    <xdr:from>
      <xdr:col>4</xdr:col>
      <xdr:colOff>338468</xdr:colOff>
      <xdr:row>3</xdr:row>
      <xdr:rowOff>7515</xdr:rowOff>
    </xdr:from>
    <xdr:to>
      <xdr:col>5</xdr:col>
      <xdr:colOff>295537</xdr:colOff>
      <xdr:row>5</xdr:row>
      <xdr:rowOff>1419</xdr:rowOff>
    </xdr:to>
    <xdr:sp macro="" textlink="" fLocksText="0">
      <xdr:nvSpPr>
        <xdr:cNvPr id="10" name="shp_Practice3" descr="Step 3">
          <a:extLst>
            <a:ext uri="{FF2B5EF4-FFF2-40B4-BE49-F238E27FC236}">
              <a16:creationId xmlns:a16="http://schemas.microsoft.com/office/drawing/2014/main" xmlns="" id="{1D4611B9-66E6-4BC6-AEAC-BDCA64064FFB}"/>
            </a:ext>
          </a:extLst>
        </xdr:cNvPr>
        <xdr:cNvSpPr/>
      </xdr:nvSpPr>
      <xdr:spPr>
        <a:xfrm>
          <a:off x="3662693" y="588540"/>
          <a:ext cx="36664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clientData/>
  </xdr:twoCellAnchor>
  <xdr:twoCellAnchor editAs="absolute">
    <xdr:from>
      <xdr:col>0</xdr:col>
      <xdr:colOff>0</xdr:colOff>
      <xdr:row>0</xdr:row>
      <xdr:rowOff>0</xdr:rowOff>
    </xdr:from>
    <xdr:to>
      <xdr:col>11</xdr:col>
      <xdr:colOff>199643</xdr:colOff>
      <xdr:row>2</xdr:row>
      <xdr:rowOff>11811</xdr:rowOff>
    </xdr:to>
    <xdr:sp macro="" textlink="" fLocksText="0">
      <xdr:nvSpPr>
        <xdr:cNvPr id="11" name="txt_PracticeHeader" descr="Practice">
          <a:extLst>
            <a:ext uri="{FF2B5EF4-FFF2-40B4-BE49-F238E27FC236}">
              <a16:creationId xmlns:a16="http://schemas.microsoft.com/office/drawing/2014/main" xmlns="" id="{E4A16B89-573C-4A48-91E8-C37EAF1853C3}"/>
            </a:ext>
          </a:extLst>
        </xdr:cNvPr>
        <xdr:cNvSpPr txBox="1"/>
      </xdr:nvSpPr>
      <xdr:spPr>
        <a:xfrm>
          <a:off x="0" y="0"/>
          <a:ext cx="7610093" cy="402336"/>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800" b="1" kern="0" baseline="0">
              <a:solidFill>
                <a:schemeClr val="bg1"/>
              </a:solidFill>
              <a:latin typeface="Segoe UI Semibold" panose="020B0702040204020203" pitchFamily="34" charset="0"/>
              <a:ea typeface="Segoe UI" pitchFamily="34" charset="0"/>
              <a:cs typeface="Segoe UI Semibold" panose="020B0702040204020203" pitchFamily="34" charset="0"/>
            </a:rPr>
            <a:t>Practice</a:t>
          </a:r>
          <a:endParaRPr lang="en-US" sz="1800">
            <a:solidFill>
              <a:schemeClr val="bg1"/>
            </a:solidFill>
            <a:latin typeface="Segoe UI Semibold" panose="020B0702040204020203" pitchFamily="34" charset="0"/>
            <a:ea typeface="Segoe UI" pitchFamily="34" charset="0"/>
            <a:cs typeface="Segoe UI Light" panose="020B0502040204020203" pitchFamily="34" charset="0"/>
          </a:endParaRPr>
        </a:p>
      </xdr:txBody>
    </xdr:sp>
    <xdr:clientData/>
  </xdr:twoCellAnchor>
  <xdr:twoCellAnchor editAs="absolute">
    <xdr:from>
      <xdr:col>9</xdr:col>
      <xdr:colOff>160500</xdr:colOff>
      <xdr:row>31</xdr:row>
      <xdr:rowOff>174486</xdr:rowOff>
    </xdr:from>
    <xdr:to>
      <xdr:col>10</xdr:col>
      <xdr:colOff>578914</xdr:colOff>
      <xdr:row>33</xdr:row>
      <xdr:rowOff>150102</xdr:rowOff>
    </xdr:to>
    <xdr:sp macro="" textlink="" fLocksText="0">
      <xdr:nvSpPr>
        <xdr:cNvPr id="12" name="txt_PracticeNext" descr="Next step button, hyperlinked to next sheet">
          <a:hlinkClick xmlns:r="http://schemas.openxmlformats.org/officeDocument/2006/relationships" r:id="rId2" tooltip="Click here to go to the next sheet"/>
          <a:extLst>
            <a:ext uri="{FF2B5EF4-FFF2-40B4-BE49-F238E27FC236}">
              <a16:creationId xmlns:a16="http://schemas.microsoft.com/office/drawing/2014/main" xmlns="" id="{0DE9F906-54EB-4A5F-B194-71D7C521AD9E}"/>
            </a:ext>
          </a:extLst>
        </xdr:cNvPr>
        <xdr:cNvSpPr/>
      </xdr:nvSpPr>
      <xdr:spPr>
        <a:xfrm>
          <a:off x="6123150" y="6079986"/>
          <a:ext cx="1180414" cy="3566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0</xdr:col>
      <xdr:colOff>298084</xdr:colOff>
      <xdr:row>31</xdr:row>
      <xdr:rowOff>174486</xdr:rowOff>
    </xdr:from>
    <xdr:to>
      <xdr:col>1</xdr:col>
      <xdr:colOff>868898</xdr:colOff>
      <xdr:row>33</xdr:row>
      <xdr:rowOff>150102</xdr:rowOff>
    </xdr:to>
    <xdr:sp macro="" textlink="" fLocksText="0">
      <xdr:nvSpPr>
        <xdr:cNvPr id="13" name="txt_PracticePrevious" descr="Previous step button, hyperlinked to previous sheet">
          <a:hlinkClick xmlns:r="http://schemas.openxmlformats.org/officeDocument/2006/relationships" r:id="rId3" tooltip="Click here to go back to the previous sheet"/>
          <a:extLst>
            <a:ext uri="{FF2B5EF4-FFF2-40B4-BE49-F238E27FC236}">
              <a16:creationId xmlns:a16="http://schemas.microsoft.com/office/drawing/2014/main" xmlns="" id="{1D442361-F9EC-48EB-8668-D73EEA3DD18E}"/>
            </a:ext>
          </a:extLst>
        </xdr:cNvPr>
        <xdr:cNvSpPr/>
      </xdr:nvSpPr>
      <xdr:spPr>
        <a:xfrm flipH="1">
          <a:off x="298084" y="6079986"/>
          <a:ext cx="1180414" cy="3566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xdr:twoCellAnchor>
</xdr:wsDr>
</file>

<file path=xl/drawings/drawing23.xml><?xml version="1.0" encoding="utf-8"?>
<xdr:wsDr xmlns:xdr="http://schemas.openxmlformats.org/drawingml/2006/spreadsheetDrawing" xmlns:a="http://schemas.openxmlformats.org/drawingml/2006/main">
  <xdr:twoCellAnchor editAs="absolute">
    <xdr:from>
      <xdr:col>0</xdr:col>
      <xdr:colOff>0</xdr:colOff>
      <xdr:row>30</xdr:row>
      <xdr:rowOff>19042</xdr:rowOff>
    </xdr:from>
    <xdr:to>
      <xdr:col>11</xdr:col>
      <xdr:colOff>190118</xdr:colOff>
      <xdr:row>33</xdr:row>
      <xdr:rowOff>124579</xdr:rowOff>
    </xdr:to>
    <xdr:sp macro="" textlink="" fLocksText="0">
      <xdr:nvSpPr>
        <xdr:cNvPr id="2" name="txt_PracticeFooter">
          <a:extLst>
            <a:ext uri="{FF2B5EF4-FFF2-40B4-BE49-F238E27FC236}">
              <a16:creationId xmlns:a16="http://schemas.microsoft.com/office/drawing/2014/main" xmlns="" id="{380A769E-8D0B-4008-A891-55732409F967}"/>
            </a:ext>
          </a:extLst>
        </xdr:cNvPr>
        <xdr:cNvSpPr txBox="1"/>
      </xdr:nvSpPr>
      <xdr:spPr>
        <a:xfrm>
          <a:off x="0" y="5734042"/>
          <a:ext cx="7610093" cy="677037"/>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3</xdr:col>
      <xdr:colOff>399910</xdr:colOff>
      <xdr:row>32</xdr:row>
      <xdr:rowOff>123055</xdr:rowOff>
    </xdr:from>
    <xdr:to>
      <xdr:col>6</xdr:col>
      <xdr:colOff>85482</xdr:colOff>
      <xdr:row>33</xdr:row>
      <xdr:rowOff>124579</xdr:rowOff>
    </xdr:to>
    <xdr:sp macro="" textlink="" fLocksText="0">
      <xdr:nvSpPr>
        <xdr:cNvPr id="3" name="txt_PracticeFeedback" descr="Feedback button, hyperlinked to web form">
          <a:hlinkClick xmlns:r="http://schemas.openxmlformats.org/officeDocument/2006/relationships" r:id="rId1" tooltip="Click to give us feedback on this tutorial"/>
          <a:extLst>
            <a:ext uri="{FF2B5EF4-FFF2-40B4-BE49-F238E27FC236}">
              <a16:creationId xmlns:a16="http://schemas.microsoft.com/office/drawing/2014/main" xmlns="" id="{ADF23537-29CF-4CF2-9FC5-F0B37883A8BB}"/>
            </a:ext>
          </a:extLst>
        </xdr:cNvPr>
        <xdr:cNvSpPr/>
      </xdr:nvSpPr>
      <xdr:spPr>
        <a:xfrm>
          <a:off x="3219310" y="6219055"/>
          <a:ext cx="1171472" cy="192024"/>
        </a:xfrm>
        <a:prstGeom prst="rect">
          <a:avLst/>
        </a:prstGeom>
        <a:solidFill>
          <a:schemeClr val="bg1">
            <a:lumMod val="85000"/>
          </a:schemeClr>
        </a:solidFill>
        <a:ln>
          <a:no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100" u="sng">
              <a:solidFill>
                <a:sysClr val="windowText" lastClr="000000"/>
              </a:solidFill>
              <a:latin typeface="Segoe UI" pitchFamily="34" charset="0"/>
              <a:ea typeface="Segoe UI" pitchFamily="34" charset="0"/>
              <a:cs typeface="Segoe UI" pitchFamily="34" charset="0"/>
            </a:rPr>
            <a:t>Feedback</a:t>
          </a:r>
        </a:p>
      </xdr:txBody>
    </xdr:sp>
    <xdr:clientData/>
  </xdr:twoCellAnchor>
  <xdr:twoCellAnchor editAs="absolute">
    <xdr:from>
      <xdr:col>0</xdr:col>
      <xdr:colOff>471004</xdr:colOff>
      <xdr:row>3</xdr:row>
      <xdr:rowOff>7515</xdr:rowOff>
    </xdr:from>
    <xdr:to>
      <xdr:col>2</xdr:col>
      <xdr:colOff>97884</xdr:colOff>
      <xdr:row>8</xdr:row>
      <xdr:rowOff>66675</xdr:rowOff>
    </xdr:to>
    <xdr:sp macro="" textlink="" fLocksText="0">
      <xdr:nvSpPr>
        <xdr:cNvPr id="4" name="txt_Practice1" descr="Click anywhere inside the PivotTable below named Sum of Units sold. ">
          <a:extLst>
            <a:ext uri="{FF2B5EF4-FFF2-40B4-BE49-F238E27FC236}">
              <a16:creationId xmlns:a16="http://schemas.microsoft.com/office/drawing/2014/main" xmlns="" id="{B7E9D7C2-19DB-4BC5-8013-CBFBEAE3EAFD}"/>
            </a:ext>
          </a:extLst>
        </xdr:cNvPr>
        <xdr:cNvSpPr txBox="1"/>
      </xdr:nvSpPr>
      <xdr:spPr>
        <a:xfrm>
          <a:off x="471004" y="588540"/>
          <a:ext cx="1341380" cy="1011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Click anywhere inside the PivotTable below named </a:t>
          </a:r>
          <a:r>
            <a:rPr kumimoji="0" lang="en-US" sz="10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 of Units sold</a:t>
          </a:r>
          <a:r>
            <a:rPr kumimoji="0" lang="en-US" sz="10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p>
      </xdr:txBody>
    </xdr:sp>
    <xdr:clientData/>
  </xdr:twoCellAnchor>
  <xdr:twoCellAnchor editAs="absolute">
    <xdr:from>
      <xdr:col>2</xdr:col>
      <xdr:colOff>492211</xdr:colOff>
      <xdr:row>3</xdr:row>
      <xdr:rowOff>7515</xdr:rowOff>
    </xdr:from>
    <xdr:to>
      <xdr:col>4</xdr:col>
      <xdr:colOff>290541</xdr:colOff>
      <xdr:row>10</xdr:row>
      <xdr:rowOff>45615</xdr:rowOff>
    </xdr:to>
    <xdr:sp macro="" textlink="" fLocksText="0">
      <xdr:nvSpPr>
        <xdr:cNvPr id="5" name="txt_Practice2" descr="Do you see the PivotTable Fields list on the right? Good! (If you don't see it, right-click the PivotTable and choose Show Field List.">
          <a:extLst>
            <a:ext uri="{FF2B5EF4-FFF2-40B4-BE49-F238E27FC236}">
              <a16:creationId xmlns:a16="http://schemas.microsoft.com/office/drawing/2014/main" xmlns="" id="{13A46DB7-2AF9-4957-B2BA-4307112C8960}"/>
            </a:ext>
          </a:extLst>
        </xdr:cNvPr>
        <xdr:cNvSpPr txBox="1"/>
      </xdr:nvSpPr>
      <xdr:spPr>
        <a:xfrm>
          <a:off x="2206711" y="588540"/>
          <a:ext cx="1341380" cy="1371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eaLnBrk="1" fontAlgn="auto" latinLnBrk="0" hangingPunct="1"/>
          <a:r>
            <a:rPr lang="en-US" sz="1000" b="0" i="0" kern="1200" baseline="0">
              <a:solidFill>
                <a:schemeClr val="dk1"/>
              </a:solidFill>
              <a:effectLst/>
              <a:latin typeface="Segoe UI" panose="020B0502040204020203" pitchFamily="34" charset="0"/>
              <a:ea typeface="+mn-ea"/>
              <a:cs typeface="Segoe UI" panose="020B0502040204020203" pitchFamily="34" charset="0"/>
            </a:rPr>
            <a:t>Do you see the PivotTable Fields list on the right? Good! (If you don't see it, </a:t>
          </a:r>
          <a:br>
            <a:rPr lang="en-US" sz="1000" b="0" i="0" kern="1200" baseline="0">
              <a:solidFill>
                <a:schemeClr val="dk1"/>
              </a:solidFill>
              <a:effectLst/>
              <a:latin typeface="Segoe UI" panose="020B0502040204020203" pitchFamily="34" charset="0"/>
              <a:ea typeface="+mn-ea"/>
              <a:cs typeface="Segoe UI" panose="020B0502040204020203" pitchFamily="34" charset="0"/>
            </a:rPr>
          </a:br>
          <a:r>
            <a:rPr lang="en-US" sz="1000" b="0" i="0" kern="1200" baseline="0">
              <a:solidFill>
                <a:schemeClr val="dk1"/>
              </a:solidFill>
              <a:effectLst/>
              <a:latin typeface="Segoe UI" panose="020B0502040204020203" pitchFamily="34" charset="0"/>
              <a:ea typeface="+mn-ea"/>
              <a:cs typeface="Segoe UI" panose="020B0502040204020203" pitchFamily="34" charset="0"/>
            </a:rPr>
            <a:t>right-click the PivotTable and choose </a:t>
          </a:r>
          <a:r>
            <a:rPr lang="en-US" sz="1000" b="1" i="0" kern="1200" baseline="0">
              <a:solidFill>
                <a:schemeClr val="dk1"/>
              </a:solidFill>
              <a:effectLst/>
              <a:latin typeface="Segoe UI" panose="020B0502040204020203" pitchFamily="34" charset="0"/>
              <a:ea typeface="+mn-ea"/>
              <a:cs typeface="Segoe UI" panose="020B0502040204020203" pitchFamily="34" charset="0"/>
            </a:rPr>
            <a:t>Show Field List</a:t>
          </a:r>
          <a:r>
            <a:rPr lang="en-US" sz="1000" b="0" i="0" kern="1200" baseline="0">
              <a:solidFill>
                <a:schemeClr val="dk1"/>
              </a:solidFill>
              <a:effectLst/>
              <a:latin typeface="Segoe UI" panose="020B0502040204020203" pitchFamily="34" charset="0"/>
              <a:ea typeface="+mn-ea"/>
              <a:cs typeface="Segoe UI" panose="020B0502040204020203" pitchFamily="34" charset="0"/>
            </a:rPr>
            <a:t>.)</a:t>
          </a:r>
          <a:endParaRPr lang="sq-AL" sz="1000">
            <a:effectLst/>
            <a:latin typeface="Segoe UI" panose="020B0502040204020203" pitchFamily="34" charset="0"/>
            <a:cs typeface="Segoe UI" panose="020B0502040204020203" pitchFamily="34" charset="0"/>
          </a:endParaRPr>
        </a:p>
      </xdr:txBody>
    </xdr:sp>
    <xdr:clientData/>
  </xdr:twoCellAnchor>
  <xdr:twoCellAnchor editAs="absolute">
    <xdr:from>
      <xdr:col>5</xdr:col>
      <xdr:colOff>201485</xdr:colOff>
      <xdr:row>3</xdr:row>
      <xdr:rowOff>7515</xdr:rowOff>
    </xdr:from>
    <xdr:to>
      <xdr:col>7</xdr:col>
      <xdr:colOff>304615</xdr:colOff>
      <xdr:row>10</xdr:row>
      <xdr:rowOff>45615</xdr:rowOff>
    </xdr:to>
    <xdr:sp macro="" textlink="" fLocksText="0">
      <xdr:nvSpPr>
        <xdr:cNvPr id="6" name="txt_Practice3" descr="Now drag the fields into place so that you make a vertical PivotTable that has seasons on the left, and the sales reps indented under the seasons.">
          <a:extLst>
            <a:ext uri="{FF2B5EF4-FFF2-40B4-BE49-F238E27FC236}">
              <a16:creationId xmlns:a16="http://schemas.microsoft.com/office/drawing/2014/main" xmlns="" id="{1EC851DF-E19B-42A9-A5A0-6A47F6540CD4}"/>
            </a:ext>
          </a:extLst>
        </xdr:cNvPr>
        <xdr:cNvSpPr txBox="1"/>
      </xdr:nvSpPr>
      <xdr:spPr>
        <a:xfrm>
          <a:off x="4021010" y="588540"/>
          <a:ext cx="1341380" cy="1371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Now drag the fields into place so that the PivotTable shows each product in its own row, and each season in its own column.</a:t>
          </a:r>
        </a:p>
      </xdr:txBody>
    </xdr:sp>
    <xdr:clientData/>
  </xdr:twoCellAnchor>
  <xdr:twoCellAnchor editAs="absolute">
    <xdr:from>
      <xdr:col>0</xdr:col>
      <xdr:colOff>74409</xdr:colOff>
      <xdr:row>3</xdr:row>
      <xdr:rowOff>7516</xdr:rowOff>
    </xdr:from>
    <xdr:to>
      <xdr:col>0</xdr:col>
      <xdr:colOff>441053</xdr:colOff>
      <xdr:row>5</xdr:row>
      <xdr:rowOff>1420</xdr:rowOff>
    </xdr:to>
    <xdr:sp macro="" textlink="" fLocksText="0">
      <xdr:nvSpPr>
        <xdr:cNvPr id="7" name="shp_Practice1" descr="Step 1">
          <a:extLst>
            <a:ext uri="{FF2B5EF4-FFF2-40B4-BE49-F238E27FC236}">
              <a16:creationId xmlns:a16="http://schemas.microsoft.com/office/drawing/2014/main" xmlns="" id="{8B80ABB7-FAB3-463D-B8F7-7540452E3E9E}"/>
            </a:ext>
          </a:extLst>
        </xdr:cNvPr>
        <xdr:cNvSpPr/>
      </xdr:nvSpPr>
      <xdr:spPr>
        <a:xfrm>
          <a:off x="74409" y="588541"/>
          <a:ext cx="36664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clientData/>
  </xdr:twoCellAnchor>
  <xdr:twoCellAnchor editAs="absolute">
    <xdr:from>
      <xdr:col>2</xdr:col>
      <xdr:colOff>154051</xdr:colOff>
      <xdr:row>3</xdr:row>
      <xdr:rowOff>7515</xdr:rowOff>
    </xdr:from>
    <xdr:to>
      <xdr:col>2</xdr:col>
      <xdr:colOff>520695</xdr:colOff>
      <xdr:row>5</xdr:row>
      <xdr:rowOff>1419</xdr:rowOff>
    </xdr:to>
    <xdr:sp macro="" textlink="" fLocksText="0">
      <xdr:nvSpPr>
        <xdr:cNvPr id="8" name="shp_Practice2" descr="Step 2">
          <a:extLst>
            <a:ext uri="{FF2B5EF4-FFF2-40B4-BE49-F238E27FC236}">
              <a16:creationId xmlns:a16="http://schemas.microsoft.com/office/drawing/2014/main" xmlns="" id="{6C1B4DEF-1844-4000-8EA9-5A35A8E04A65}"/>
            </a:ext>
          </a:extLst>
        </xdr:cNvPr>
        <xdr:cNvSpPr/>
      </xdr:nvSpPr>
      <xdr:spPr>
        <a:xfrm>
          <a:off x="1868551" y="588540"/>
          <a:ext cx="36664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clientData/>
  </xdr:twoCellAnchor>
  <xdr:twoCellAnchor editAs="absolute">
    <xdr:from>
      <xdr:col>4</xdr:col>
      <xdr:colOff>405143</xdr:colOff>
      <xdr:row>3</xdr:row>
      <xdr:rowOff>7515</xdr:rowOff>
    </xdr:from>
    <xdr:to>
      <xdr:col>5</xdr:col>
      <xdr:colOff>209812</xdr:colOff>
      <xdr:row>5</xdr:row>
      <xdr:rowOff>1419</xdr:rowOff>
    </xdr:to>
    <xdr:sp macro="" textlink="" fLocksText="0">
      <xdr:nvSpPr>
        <xdr:cNvPr id="9" name="shp_Practice3" descr="Step 3">
          <a:extLst>
            <a:ext uri="{FF2B5EF4-FFF2-40B4-BE49-F238E27FC236}">
              <a16:creationId xmlns:a16="http://schemas.microsoft.com/office/drawing/2014/main" xmlns="" id="{8AB3C5A2-B6E0-42C7-A130-2138F069728F}"/>
            </a:ext>
          </a:extLst>
        </xdr:cNvPr>
        <xdr:cNvSpPr/>
      </xdr:nvSpPr>
      <xdr:spPr>
        <a:xfrm>
          <a:off x="3662693" y="588540"/>
          <a:ext cx="36664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clientData/>
  </xdr:twoCellAnchor>
  <xdr:twoCellAnchor editAs="absolute">
    <xdr:from>
      <xdr:col>0</xdr:col>
      <xdr:colOff>0</xdr:colOff>
      <xdr:row>0</xdr:row>
      <xdr:rowOff>0</xdr:rowOff>
    </xdr:from>
    <xdr:to>
      <xdr:col>11</xdr:col>
      <xdr:colOff>190118</xdr:colOff>
      <xdr:row>2</xdr:row>
      <xdr:rowOff>11811</xdr:rowOff>
    </xdr:to>
    <xdr:sp macro="" textlink="" fLocksText="0">
      <xdr:nvSpPr>
        <xdr:cNvPr id="10" name="txt_PracticeHeader" descr="Practice">
          <a:extLst>
            <a:ext uri="{FF2B5EF4-FFF2-40B4-BE49-F238E27FC236}">
              <a16:creationId xmlns:a16="http://schemas.microsoft.com/office/drawing/2014/main" xmlns="" id="{F0F9E4E0-4776-4696-A164-065120A0ABB8}"/>
            </a:ext>
          </a:extLst>
        </xdr:cNvPr>
        <xdr:cNvSpPr txBox="1"/>
      </xdr:nvSpPr>
      <xdr:spPr>
        <a:xfrm>
          <a:off x="0" y="0"/>
          <a:ext cx="7610093" cy="402336"/>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800" b="1" kern="0" baseline="0">
              <a:solidFill>
                <a:schemeClr val="bg1"/>
              </a:solidFill>
              <a:latin typeface="Segoe UI Semibold" panose="020B0702040204020203" pitchFamily="34" charset="0"/>
              <a:ea typeface="Segoe UI" pitchFamily="34" charset="0"/>
              <a:cs typeface="Segoe UI Semibold" panose="020B0702040204020203" pitchFamily="34" charset="0"/>
            </a:rPr>
            <a:t>Practice</a:t>
          </a:r>
          <a:endParaRPr lang="en-US" sz="1800">
            <a:solidFill>
              <a:schemeClr val="bg1"/>
            </a:solidFill>
            <a:latin typeface="Segoe UI Semibold" panose="020B0702040204020203" pitchFamily="34" charset="0"/>
            <a:ea typeface="Segoe UI" pitchFamily="34" charset="0"/>
            <a:cs typeface="Segoe UI Light" panose="020B0502040204020203" pitchFamily="34" charset="0"/>
          </a:endParaRPr>
        </a:p>
      </xdr:txBody>
    </xdr:sp>
    <xdr:clientData/>
  </xdr:twoCellAnchor>
  <xdr:twoCellAnchor editAs="absolute">
    <xdr:from>
      <xdr:col>9</xdr:col>
      <xdr:colOff>150975</xdr:colOff>
      <xdr:row>30</xdr:row>
      <xdr:rowOff>184015</xdr:rowOff>
    </xdr:from>
    <xdr:to>
      <xdr:col>10</xdr:col>
      <xdr:colOff>569389</xdr:colOff>
      <xdr:row>32</xdr:row>
      <xdr:rowOff>159631</xdr:rowOff>
    </xdr:to>
    <xdr:sp macro="" textlink="" fLocksText="0">
      <xdr:nvSpPr>
        <xdr:cNvPr id="11" name="txt_PracticeNext" descr="Next step button, hyperlinked to next sheet">
          <a:hlinkClick xmlns:r="http://schemas.openxmlformats.org/officeDocument/2006/relationships" r:id="rId2" tooltip="Click here to go to the next sheet"/>
          <a:extLst>
            <a:ext uri="{FF2B5EF4-FFF2-40B4-BE49-F238E27FC236}">
              <a16:creationId xmlns:a16="http://schemas.microsoft.com/office/drawing/2014/main" xmlns="" id="{661E9D1F-9F81-4D48-B413-F247290286D1}"/>
            </a:ext>
          </a:extLst>
        </xdr:cNvPr>
        <xdr:cNvSpPr/>
      </xdr:nvSpPr>
      <xdr:spPr>
        <a:xfrm>
          <a:off x="6123150" y="5899015"/>
          <a:ext cx="1180414" cy="3566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0</xdr:col>
      <xdr:colOff>298084</xdr:colOff>
      <xdr:row>30</xdr:row>
      <xdr:rowOff>184015</xdr:rowOff>
    </xdr:from>
    <xdr:to>
      <xdr:col>1</xdr:col>
      <xdr:colOff>868898</xdr:colOff>
      <xdr:row>32</xdr:row>
      <xdr:rowOff>159631</xdr:rowOff>
    </xdr:to>
    <xdr:sp macro="" textlink="" fLocksText="0">
      <xdr:nvSpPr>
        <xdr:cNvPr id="12" name="txt_PracticePrevious" descr="Previous step button, hyperlinked to previous sheet">
          <a:hlinkClick xmlns:r="http://schemas.openxmlformats.org/officeDocument/2006/relationships" r:id="rId3" tooltip="Click here to go back to the previous sheet"/>
          <a:extLst>
            <a:ext uri="{FF2B5EF4-FFF2-40B4-BE49-F238E27FC236}">
              <a16:creationId xmlns:a16="http://schemas.microsoft.com/office/drawing/2014/main" xmlns="" id="{230944B4-48FC-47AA-A164-B69A164E52B1}"/>
            </a:ext>
          </a:extLst>
        </xdr:cNvPr>
        <xdr:cNvSpPr/>
      </xdr:nvSpPr>
      <xdr:spPr>
        <a:xfrm flipH="1">
          <a:off x="298084" y="5899015"/>
          <a:ext cx="1180414" cy="3566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xdr:twoCellAnchor>
</xdr:wsDr>
</file>

<file path=xl/drawings/drawing24.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18668</xdr:colOff>
      <xdr:row>35</xdr:row>
      <xdr:rowOff>167441</xdr:rowOff>
    </xdr:to>
    <xdr:grpSp>
      <xdr:nvGrpSpPr>
        <xdr:cNvPr id="2" name="grp_Practice">
          <a:extLst>
            <a:ext uri="{FF2B5EF4-FFF2-40B4-BE49-F238E27FC236}">
              <a16:creationId xmlns:a16="http://schemas.microsoft.com/office/drawing/2014/main" xmlns="" id="{5783468C-7C1F-418B-98C1-9D990C00BC51}"/>
            </a:ext>
          </a:extLst>
        </xdr:cNvPr>
        <xdr:cNvGrpSpPr/>
      </xdr:nvGrpSpPr>
      <xdr:grpSpPr>
        <a:xfrm>
          <a:off x="0" y="0"/>
          <a:ext cx="7772018" cy="6834941"/>
          <a:chOff x="0" y="0"/>
          <a:chExt cx="7781543" cy="6826607"/>
        </a:xfrm>
      </xdr:grpSpPr>
      <xdr:sp macro="" textlink="" fLocksText="0">
        <xdr:nvSpPr>
          <xdr:cNvPr id="3" name="txt_Practice1" descr="Click anywhere inside the PivotTable below. ">
            <a:extLst>
              <a:ext uri="{FF2B5EF4-FFF2-40B4-BE49-F238E27FC236}">
                <a16:creationId xmlns:a16="http://schemas.microsoft.com/office/drawing/2014/main" xmlns="" id="{7E235552-8E1D-491D-B636-04BE6B749B5E}"/>
              </a:ext>
            </a:extLst>
          </xdr:cNvPr>
          <xdr:cNvSpPr txBox="1"/>
        </xdr:nvSpPr>
        <xdr:spPr>
          <a:xfrm>
            <a:off x="481615" y="588540"/>
            <a:ext cx="1371600" cy="1371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Click anywhere inside the PivotTable below.  </a:t>
            </a:r>
          </a:p>
        </xdr:txBody>
      </xdr:sp>
      <xdr:sp macro="" textlink="" fLocksText="0">
        <xdr:nvSpPr>
          <xdr:cNvPr id="4" name="txt_Practice2" descr="Do you see the PivotTable Fields list on the right? Good! (If you don't see it, right-click the PivotTable below and choose Show Field List.">
            <a:extLst>
              <a:ext uri="{FF2B5EF4-FFF2-40B4-BE49-F238E27FC236}">
                <a16:creationId xmlns:a16="http://schemas.microsoft.com/office/drawing/2014/main" xmlns="" id="{E3B931F1-5DDF-41D9-9E8E-92FCE9C5EF4A}"/>
              </a:ext>
            </a:extLst>
          </xdr:cNvPr>
          <xdr:cNvSpPr txBox="1"/>
        </xdr:nvSpPr>
        <xdr:spPr>
          <a:xfrm>
            <a:off x="2256427" y="588540"/>
            <a:ext cx="1371600" cy="1371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eaLnBrk="1" fontAlgn="auto" latinLnBrk="0" hangingPunct="1"/>
            <a:r>
              <a:rPr lang="en-US" sz="1000" b="0" i="0" kern="1200" baseline="0">
                <a:solidFill>
                  <a:schemeClr val="dk1"/>
                </a:solidFill>
                <a:effectLst/>
                <a:latin typeface="Segoe UI" panose="020B0502040204020203" pitchFamily="34" charset="0"/>
                <a:ea typeface="+mn-ea"/>
                <a:cs typeface="Segoe UI" panose="020B0502040204020203" pitchFamily="34" charset="0"/>
              </a:rPr>
              <a:t>Do you see the PivotTable Fields list on the right? Good! (If you don't see it, </a:t>
            </a:r>
            <a:br>
              <a:rPr lang="en-US" sz="1000" b="0" i="0" kern="1200" baseline="0">
                <a:solidFill>
                  <a:schemeClr val="dk1"/>
                </a:solidFill>
                <a:effectLst/>
                <a:latin typeface="Segoe UI" panose="020B0502040204020203" pitchFamily="34" charset="0"/>
                <a:ea typeface="+mn-ea"/>
                <a:cs typeface="Segoe UI" panose="020B0502040204020203" pitchFamily="34" charset="0"/>
              </a:rPr>
            </a:br>
            <a:r>
              <a:rPr lang="en-US" sz="1000" b="0" i="0" kern="1200" baseline="0">
                <a:solidFill>
                  <a:schemeClr val="dk1"/>
                </a:solidFill>
                <a:effectLst/>
                <a:latin typeface="Segoe UI" panose="020B0502040204020203" pitchFamily="34" charset="0"/>
                <a:ea typeface="+mn-ea"/>
                <a:cs typeface="Segoe UI" panose="020B0502040204020203" pitchFamily="34" charset="0"/>
              </a:rPr>
              <a:t>right-click the PivotTable below and choose </a:t>
            </a:r>
            <a:r>
              <a:rPr lang="en-US" sz="1000" b="1" i="0" kern="1200" baseline="0">
                <a:solidFill>
                  <a:schemeClr val="dk1"/>
                </a:solidFill>
                <a:effectLst/>
                <a:latin typeface="Segoe UI" panose="020B0502040204020203" pitchFamily="34" charset="0"/>
                <a:ea typeface="+mn-ea"/>
                <a:cs typeface="Segoe UI" panose="020B0502040204020203" pitchFamily="34" charset="0"/>
              </a:rPr>
              <a:t>Show Field List</a:t>
            </a:r>
            <a:r>
              <a:rPr lang="en-US" sz="1000" b="0" i="0" kern="1200" baseline="0">
                <a:solidFill>
                  <a:schemeClr val="dk1"/>
                </a:solidFill>
                <a:effectLst/>
                <a:latin typeface="Segoe UI" panose="020B0502040204020203" pitchFamily="34" charset="0"/>
                <a:ea typeface="+mn-ea"/>
                <a:cs typeface="Segoe UI" panose="020B0502040204020203" pitchFamily="34" charset="0"/>
              </a:rPr>
              <a:t>.)</a:t>
            </a:r>
            <a:endParaRPr lang="sq-AL" sz="1000">
              <a:effectLst/>
              <a:latin typeface="Segoe UI" panose="020B0502040204020203" pitchFamily="34" charset="0"/>
              <a:cs typeface="Segoe UI" panose="020B0502040204020203" pitchFamily="34" charset="0"/>
            </a:endParaRPr>
          </a:p>
        </xdr:txBody>
      </xdr:sp>
      <xdr:sp macro="" textlink="" fLocksText="0">
        <xdr:nvSpPr>
          <xdr:cNvPr id="5" name="txt_Practice3" descr="This PivotTable is simply too wide. Drag the fields into place so that you see each sales rep on the left, and the seasons indented under each sales rep.">
            <a:extLst>
              <a:ext uri="{FF2B5EF4-FFF2-40B4-BE49-F238E27FC236}">
                <a16:creationId xmlns:a16="http://schemas.microsoft.com/office/drawing/2014/main" xmlns="" id="{6D22B3C9-7D2C-4D84-8F14-7E9D94142FE8}"/>
              </a:ext>
            </a:extLst>
          </xdr:cNvPr>
          <xdr:cNvSpPr txBox="1"/>
        </xdr:nvSpPr>
        <xdr:spPr>
          <a:xfrm>
            <a:off x="4111601" y="588540"/>
            <a:ext cx="1371600" cy="1371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This PivotTable is simply too wide. Drag the fields into place so that you see each sales rep on the left, and the seasons indented under each sales rep.</a:t>
            </a:r>
          </a:p>
        </xdr:txBody>
      </xdr:sp>
      <xdr:sp macro="" textlink="" fLocksText="0">
        <xdr:nvSpPr>
          <xdr:cNvPr id="6" name="shp_Practice1" descr="Step 1">
            <a:extLst>
              <a:ext uri="{FF2B5EF4-FFF2-40B4-BE49-F238E27FC236}">
                <a16:creationId xmlns:a16="http://schemas.microsoft.com/office/drawing/2014/main" xmlns="" id="{00741AEB-3E36-4BB3-AA12-2361E98522A7}"/>
              </a:ext>
            </a:extLst>
          </xdr:cNvPr>
          <xdr:cNvSpPr/>
        </xdr:nvSpPr>
        <xdr:spPr>
          <a:xfrm>
            <a:off x="76085" y="588541"/>
            <a:ext cx="37490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fLocksText="0">
        <xdr:nvSpPr>
          <xdr:cNvPr id="7" name="shp_Practice2" descr="Step 2">
            <a:extLst>
              <a:ext uri="{FF2B5EF4-FFF2-40B4-BE49-F238E27FC236}">
                <a16:creationId xmlns:a16="http://schemas.microsoft.com/office/drawing/2014/main" xmlns="" id="{1CFB5BED-793B-4F4A-A413-D91B86F419BD}"/>
              </a:ext>
            </a:extLst>
          </xdr:cNvPr>
          <xdr:cNvSpPr/>
        </xdr:nvSpPr>
        <xdr:spPr>
          <a:xfrm>
            <a:off x="1910648" y="588540"/>
            <a:ext cx="37490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fLocksText="0">
        <xdr:nvSpPr>
          <xdr:cNvPr id="8" name="shp_Practice3" descr="Step 3">
            <a:extLst>
              <a:ext uri="{FF2B5EF4-FFF2-40B4-BE49-F238E27FC236}">
                <a16:creationId xmlns:a16="http://schemas.microsoft.com/office/drawing/2014/main" xmlns="" id="{3B5A4A94-5EE3-443E-ADF4-5B3C4AF70301}"/>
              </a:ext>
            </a:extLst>
          </xdr:cNvPr>
          <xdr:cNvSpPr/>
        </xdr:nvSpPr>
        <xdr:spPr>
          <a:xfrm>
            <a:off x="3745211" y="588540"/>
            <a:ext cx="37490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fLocksText="0">
        <xdr:nvSpPr>
          <xdr:cNvPr id="9" name="txt_PracticeFooter">
            <a:extLst>
              <a:ext uri="{FF2B5EF4-FFF2-40B4-BE49-F238E27FC236}">
                <a16:creationId xmlns:a16="http://schemas.microsoft.com/office/drawing/2014/main" xmlns="" id="{1D53BF2A-AAF7-4143-A20F-1289B4D85F86}"/>
              </a:ext>
            </a:extLst>
          </xdr:cNvPr>
          <xdr:cNvSpPr txBox="1"/>
        </xdr:nvSpPr>
        <xdr:spPr>
          <a:xfrm>
            <a:off x="0" y="6159095"/>
            <a:ext cx="7781543" cy="66751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sp macro="" textlink="" fLocksText="0">
        <xdr:nvSpPr>
          <xdr:cNvPr id="10" name="txt_PracticeHeader" descr="Practice">
            <a:extLst>
              <a:ext uri="{FF2B5EF4-FFF2-40B4-BE49-F238E27FC236}">
                <a16:creationId xmlns:a16="http://schemas.microsoft.com/office/drawing/2014/main" xmlns="" id="{FFC5AE10-C0DD-496B-BA0B-E3794DB76F1F}"/>
              </a:ext>
            </a:extLst>
          </xdr:cNvPr>
          <xdr:cNvSpPr txBox="1"/>
        </xdr:nvSpPr>
        <xdr:spPr>
          <a:xfrm>
            <a:off x="0" y="0"/>
            <a:ext cx="7781543" cy="402336"/>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800" b="1" kern="0" baseline="0">
                <a:solidFill>
                  <a:schemeClr val="bg1"/>
                </a:solidFill>
                <a:latin typeface="Segoe UI Semibold" panose="020B0702040204020203" pitchFamily="34" charset="0"/>
                <a:ea typeface="Segoe UI" pitchFamily="34" charset="0"/>
                <a:cs typeface="Segoe UI Semibold" panose="020B0702040204020203" pitchFamily="34" charset="0"/>
              </a:rPr>
              <a:t>Practice</a:t>
            </a:r>
            <a:endParaRPr lang="en-US" sz="1800">
              <a:solidFill>
                <a:schemeClr val="bg1"/>
              </a:solidFill>
              <a:latin typeface="Segoe UI Semibold" panose="020B0702040204020203" pitchFamily="34" charset="0"/>
              <a:ea typeface="Segoe UI" pitchFamily="34" charset="0"/>
              <a:cs typeface="Segoe UI Light" panose="020B0502040204020203" pitchFamily="34" charset="0"/>
            </a:endParaRPr>
          </a:p>
        </xdr:txBody>
      </xdr:sp>
      <xdr:sp macro="" textlink="" fLocksText="0">
        <xdr:nvSpPr>
          <xdr:cNvPr id="11" name="txt_PracticeFeedback" descr="Feedback">
            <a:hlinkClick xmlns:r="http://schemas.openxmlformats.org/officeDocument/2006/relationships" r:id="rId1" tooltip="Click to give us feedback on this tutorial"/>
            <a:extLst>
              <a:ext uri="{FF2B5EF4-FFF2-40B4-BE49-F238E27FC236}">
                <a16:creationId xmlns:a16="http://schemas.microsoft.com/office/drawing/2014/main" xmlns="" id="{C4AA24E9-0A5E-405E-8297-3C197E012F7C}"/>
              </a:ext>
            </a:extLst>
          </xdr:cNvPr>
          <xdr:cNvSpPr/>
        </xdr:nvSpPr>
        <xdr:spPr>
          <a:xfrm>
            <a:off x="3291839" y="6634583"/>
            <a:ext cx="1197864" cy="192024"/>
          </a:xfrm>
          <a:prstGeom prst="rect">
            <a:avLst/>
          </a:prstGeom>
          <a:solidFill>
            <a:schemeClr val="bg1">
              <a:lumMod val="85000"/>
            </a:schemeClr>
          </a:solidFill>
          <a:ln>
            <a:no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100" u="sng">
                <a:solidFill>
                  <a:sysClr val="windowText" lastClr="000000"/>
                </a:solidFill>
                <a:latin typeface="Segoe UI" pitchFamily="34" charset="0"/>
                <a:ea typeface="Segoe UI" pitchFamily="34" charset="0"/>
                <a:cs typeface="Segoe UI" pitchFamily="34" charset="0"/>
              </a:rPr>
              <a:t>Feedback</a:t>
            </a:r>
          </a:p>
        </xdr:txBody>
      </xdr:sp>
      <xdr:sp macro="" textlink="" fLocksText="0">
        <xdr:nvSpPr>
          <xdr:cNvPr id="12" name="txt_PracticeNext" descr="Next">
            <a:hlinkClick xmlns:r="http://schemas.openxmlformats.org/officeDocument/2006/relationships" r:id="rId2" tooltip="Click here to go to the next sheet"/>
            <a:extLst>
              <a:ext uri="{FF2B5EF4-FFF2-40B4-BE49-F238E27FC236}">
                <a16:creationId xmlns:a16="http://schemas.microsoft.com/office/drawing/2014/main" xmlns="" id="{39FE7EB2-B3C6-43E1-8823-CD2BB8A62CC5}"/>
              </a:ext>
            </a:extLst>
          </xdr:cNvPr>
          <xdr:cNvSpPr/>
        </xdr:nvSpPr>
        <xdr:spPr>
          <a:xfrm>
            <a:off x="6261100" y="6314546"/>
            <a:ext cx="1207008" cy="3566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sp macro="" textlink="" fLocksText="0">
        <xdr:nvSpPr>
          <xdr:cNvPr id="13" name="txt_PracticePrevious" descr="Previous">
            <a:hlinkClick xmlns:r="http://schemas.openxmlformats.org/officeDocument/2006/relationships" r:id="rId3" tooltip="Click here to go back to the previous sheet"/>
            <a:extLst>
              <a:ext uri="{FF2B5EF4-FFF2-40B4-BE49-F238E27FC236}">
                <a16:creationId xmlns:a16="http://schemas.microsoft.com/office/drawing/2014/main" xmlns="" id="{2783F0F4-6C68-4E81-9AE0-4132242D71ED}"/>
              </a:ext>
            </a:extLst>
          </xdr:cNvPr>
          <xdr:cNvSpPr/>
        </xdr:nvSpPr>
        <xdr:spPr>
          <a:xfrm flipH="1">
            <a:off x="304800" y="6314546"/>
            <a:ext cx="1207008" cy="3566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grpSp>
    <xdr:clientData/>
  </xdr:twoCellAnchor>
</xdr:wsDr>
</file>

<file path=xl/drawings/drawing25.xml><?xml version="1.0" encoding="utf-8"?>
<xdr:wsDr xmlns:xdr="http://schemas.openxmlformats.org/drawingml/2006/spreadsheetDrawing" xmlns:a="http://schemas.openxmlformats.org/drawingml/2006/main">
  <xdr:twoCellAnchor editAs="absolute">
    <xdr:from>
      <xdr:col>0</xdr:col>
      <xdr:colOff>481615</xdr:colOff>
      <xdr:row>3</xdr:row>
      <xdr:rowOff>17040</xdr:rowOff>
    </xdr:from>
    <xdr:to>
      <xdr:col>2</xdr:col>
      <xdr:colOff>148240</xdr:colOff>
      <xdr:row>7</xdr:row>
      <xdr:rowOff>161925</xdr:rowOff>
    </xdr:to>
    <xdr:sp macro="" textlink="" fLocksText="0">
      <xdr:nvSpPr>
        <xdr:cNvPr id="2" name="txt_Practice1" descr="Click anywhere inside the PivotTable below. ">
          <a:extLst>
            <a:ext uri="{FF2B5EF4-FFF2-40B4-BE49-F238E27FC236}">
              <a16:creationId xmlns:a16="http://schemas.microsoft.com/office/drawing/2014/main" xmlns="" id="{9B6B2A48-BA4C-4A6D-81D9-D5A5E37BEF95}"/>
            </a:ext>
          </a:extLst>
        </xdr:cNvPr>
        <xdr:cNvSpPr txBox="1"/>
      </xdr:nvSpPr>
      <xdr:spPr>
        <a:xfrm>
          <a:off x="481615" y="588540"/>
          <a:ext cx="1371600" cy="9068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Click anywhere inside the PivotTable below named </a:t>
          </a:r>
          <a:r>
            <a:rPr kumimoji="0" lang="en-US" sz="10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Sum of Units sold</a:t>
          </a:r>
          <a:r>
            <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 </a:t>
          </a:r>
        </a:p>
      </xdr:txBody>
    </xdr:sp>
    <xdr:clientData/>
  </xdr:twoCellAnchor>
  <xdr:twoCellAnchor editAs="absolute">
    <xdr:from>
      <xdr:col>2</xdr:col>
      <xdr:colOff>551452</xdr:colOff>
      <xdr:row>3</xdr:row>
      <xdr:rowOff>17040</xdr:rowOff>
    </xdr:from>
    <xdr:to>
      <xdr:col>4</xdr:col>
      <xdr:colOff>480014</xdr:colOff>
      <xdr:row>10</xdr:row>
      <xdr:rowOff>55140</xdr:rowOff>
    </xdr:to>
    <xdr:sp macro="" textlink="" fLocksText="0">
      <xdr:nvSpPr>
        <xdr:cNvPr id="3" name="txt_Practice2" descr="Do you see the PivotTable Fields list on the right? Good! (If you don't see it, right-click the PivotTable below and choose Show Field List.">
          <a:extLst>
            <a:ext uri="{FF2B5EF4-FFF2-40B4-BE49-F238E27FC236}">
              <a16:creationId xmlns:a16="http://schemas.microsoft.com/office/drawing/2014/main" xmlns="" id="{BDB16721-3E4E-4D13-935C-937AF0B92AF6}"/>
            </a:ext>
          </a:extLst>
        </xdr:cNvPr>
        <xdr:cNvSpPr txBox="1"/>
      </xdr:nvSpPr>
      <xdr:spPr>
        <a:xfrm>
          <a:off x="2256427" y="588540"/>
          <a:ext cx="1371600" cy="1371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eaLnBrk="1" fontAlgn="auto" latinLnBrk="0" hangingPunct="1"/>
          <a:r>
            <a:rPr lang="en-US" sz="1000" b="0" i="0" kern="1200" baseline="0">
              <a:solidFill>
                <a:schemeClr val="dk1"/>
              </a:solidFill>
              <a:effectLst/>
              <a:latin typeface="Segoe UI" panose="020B0502040204020203" pitchFamily="34" charset="0"/>
              <a:ea typeface="+mn-ea"/>
              <a:cs typeface="Segoe UI" panose="020B0502040204020203" pitchFamily="34" charset="0"/>
            </a:rPr>
            <a:t>Do you see the PivotTable Fields list on the right? Good! (If you don't see it, </a:t>
          </a:r>
          <a:br>
            <a:rPr lang="en-US" sz="1000" b="0" i="0" kern="1200" baseline="0">
              <a:solidFill>
                <a:schemeClr val="dk1"/>
              </a:solidFill>
              <a:effectLst/>
              <a:latin typeface="Segoe UI" panose="020B0502040204020203" pitchFamily="34" charset="0"/>
              <a:ea typeface="+mn-ea"/>
              <a:cs typeface="Segoe UI" panose="020B0502040204020203" pitchFamily="34" charset="0"/>
            </a:rPr>
          </a:br>
          <a:r>
            <a:rPr lang="en-US" sz="1000" b="0" i="0" kern="1200" baseline="0">
              <a:solidFill>
                <a:schemeClr val="dk1"/>
              </a:solidFill>
              <a:effectLst/>
              <a:latin typeface="Segoe UI" panose="020B0502040204020203" pitchFamily="34" charset="0"/>
              <a:ea typeface="+mn-ea"/>
              <a:cs typeface="Segoe UI" panose="020B0502040204020203" pitchFamily="34" charset="0"/>
            </a:rPr>
            <a:t>right-click the PivotTable below and choose </a:t>
          </a:r>
          <a:r>
            <a:rPr lang="en-US" sz="1000" b="1" i="0" kern="1200" baseline="0">
              <a:solidFill>
                <a:schemeClr val="dk1"/>
              </a:solidFill>
              <a:effectLst/>
              <a:latin typeface="Segoe UI" panose="020B0502040204020203" pitchFamily="34" charset="0"/>
              <a:ea typeface="+mn-ea"/>
              <a:cs typeface="Segoe UI" panose="020B0502040204020203" pitchFamily="34" charset="0"/>
            </a:rPr>
            <a:t>Show Field List.</a:t>
          </a:r>
          <a:r>
            <a:rPr lang="en-US" sz="1000" b="0" i="0" kern="1200" baseline="0">
              <a:solidFill>
                <a:schemeClr val="dk1"/>
              </a:solidFill>
              <a:effectLst/>
              <a:latin typeface="Segoe UI" panose="020B0502040204020203" pitchFamily="34" charset="0"/>
              <a:ea typeface="+mn-ea"/>
              <a:cs typeface="Segoe UI" panose="020B0502040204020203" pitchFamily="34" charset="0"/>
            </a:rPr>
            <a:t>)</a:t>
          </a:r>
          <a:endParaRPr lang="sq-AL" sz="1000" b="0">
            <a:effectLst/>
            <a:latin typeface="Segoe UI" panose="020B0502040204020203" pitchFamily="34" charset="0"/>
            <a:cs typeface="Segoe UI" panose="020B0502040204020203" pitchFamily="34" charset="0"/>
          </a:endParaRPr>
        </a:p>
      </xdr:txBody>
    </xdr:sp>
    <xdr:clientData/>
  </xdr:twoCellAnchor>
  <xdr:twoCellAnchor editAs="absolute">
    <xdr:from>
      <xdr:col>5</xdr:col>
      <xdr:colOff>249213</xdr:colOff>
      <xdr:row>3</xdr:row>
      <xdr:rowOff>17040</xdr:rowOff>
    </xdr:from>
    <xdr:to>
      <xdr:col>7</xdr:col>
      <xdr:colOff>182539</xdr:colOff>
      <xdr:row>10</xdr:row>
      <xdr:rowOff>55140</xdr:rowOff>
    </xdr:to>
    <xdr:sp macro="" textlink="" fLocksText="0">
      <xdr:nvSpPr>
        <xdr:cNvPr id="4" name="txt_Practice3" descr="Drag the fields into position so that you can see:&#10;• Each sales rep its own column field.&#10;• Seasons on the left&#10;• Products indented under the seasons.">
          <a:extLst>
            <a:ext uri="{FF2B5EF4-FFF2-40B4-BE49-F238E27FC236}">
              <a16:creationId xmlns:a16="http://schemas.microsoft.com/office/drawing/2014/main" xmlns="" id="{F9302DD2-384C-4B49-A742-0385B25275CE}"/>
            </a:ext>
          </a:extLst>
        </xdr:cNvPr>
        <xdr:cNvSpPr txBox="1"/>
      </xdr:nvSpPr>
      <xdr:spPr>
        <a:xfrm>
          <a:off x="4111601" y="588540"/>
          <a:ext cx="1371600" cy="1371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Drag the fields into position so that you can see:
• Each sales rep its own column field.
• Seasons on the left
• Products indented under the seasons.</a:t>
          </a:r>
        </a:p>
      </xdr:txBody>
    </xdr:sp>
    <xdr:clientData/>
  </xdr:twoCellAnchor>
  <xdr:twoCellAnchor editAs="absolute">
    <xdr:from>
      <xdr:col>0</xdr:col>
      <xdr:colOff>76085</xdr:colOff>
      <xdr:row>3</xdr:row>
      <xdr:rowOff>17041</xdr:rowOff>
    </xdr:from>
    <xdr:to>
      <xdr:col>0</xdr:col>
      <xdr:colOff>450989</xdr:colOff>
      <xdr:row>5</xdr:row>
      <xdr:rowOff>10945</xdr:rowOff>
    </xdr:to>
    <xdr:sp macro="" textlink="" fLocksText="0">
      <xdr:nvSpPr>
        <xdr:cNvPr id="5" name="shp_Practice1" descr="Step 1">
          <a:extLst>
            <a:ext uri="{FF2B5EF4-FFF2-40B4-BE49-F238E27FC236}">
              <a16:creationId xmlns:a16="http://schemas.microsoft.com/office/drawing/2014/main" xmlns="" id="{F77FC8B3-CF1F-4232-B7BE-59A37C8CBCF4}"/>
            </a:ext>
          </a:extLst>
        </xdr:cNvPr>
        <xdr:cNvSpPr/>
      </xdr:nvSpPr>
      <xdr:spPr>
        <a:xfrm>
          <a:off x="76085" y="588541"/>
          <a:ext cx="37490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clientData/>
  </xdr:twoCellAnchor>
  <xdr:twoCellAnchor editAs="absolute">
    <xdr:from>
      <xdr:col>2</xdr:col>
      <xdr:colOff>205673</xdr:colOff>
      <xdr:row>3</xdr:row>
      <xdr:rowOff>17040</xdr:rowOff>
    </xdr:from>
    <xdr:to>
      <xdr:col>2</xdr:col>
      <xdr:colOff>580577</xdr:colOff>
      <xdr:row>5</xdr:row>
      <xdr:rowOff>10944</xdr:rowOff>
    </xdr:to>
    <xdr:sp macro="" textlink="" fLocksText="0">
      <xdr:nvSpPr>
        <xdr:cNvPr id="6" name="shp_Practice2" descr="Step 2">
          <a:extLst>
            <a:ext uri="{FF2B5EF4-FFF2-40B4-BE49-F238E27FC236}">
              <a16:creationId xmlns:a16="http://schemas.microsoft.com/office/drawing/2014/main" xmlns="" id="{83BB449C-6D9E-461F-94B0-4D1EC60F7F24}"/>
            </a:ext>
          </a:extLst>
        </xdr:cNvPr>
        <xdr:cNvSpPr/>
      </xdr:nvSpPr>
      <xdr:spPr>
        <a:xfrm>
          <a:off x="1910648" y="588540"/>
          <a:ext cx="37490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clientData/>
  </xdr:twoCellAnchor>
  <xdr:twoCellAnchor editAs="absolute">
    <xdr:from>
      <xdr:col>4</xdr:col>
      <xdr:colOff>625773</xdr:colOff>
      <xdr:row>3</xdr:row>
      <xdr:rowOff>17040</xdr:rowOff>
    </xdr:from>
    <xdr:to>
      <xdr:col>5</xdr:col>
      <xdr:colOff>248202</xdr:colOff>
      <xdr:row>5</xdr:row>
      <xdr:rowOff>10944</xdr:rowOff>
    </xdr:to>
    <xdr:sp macro="" textlink="" fLocksText="0">
      <xdr:nvSpPr>
        <xdr:cNvPr id="7" name="shp_Practice3" descr="Step 3">
          <a:extLst>
            <a:ext uri="{FF2B5EF4-FFF2-40B4-BE49-F238E27FC236}">
              <a16:creationId xmlns:a16="http://schemas.microsoft.com/office/drawing/2014/main" xmlns="" id="{322BB638-1679-44A6-9713-AEA4ADBBB88A}"/>
            </a:ext>
          </a:extLst>
        </xdr:cNvPr>
        <xdr:cNvSpPr/>
      </xdr:nvSpPr>
      <xdr:spPr>
        <a:xfrm>
          <a:off x="3745211" y="588540"/>
          <a:ext cx="37490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clientData/>
  </xdr:twoCellAnchor>
  <xdr:twoCellAnchor editAs="absolute">
    <xdr:from>
      <xdr:col>0</xdr:col>
      <xdr:colOff>0</xdr:colOff>
      <xdr:row>0</xdr:row>
      <xdr:rowOff>0</xdr:rowOff>
    </xdr:from>
    <xdr:to>
      <xdr:col>10</xdr:col>
      <xdr:colOff>332993</xdr:colOff>
      <xdr:row>2</xdr:row>
      <xdr:rowOff>21336</xdr:rowOff>
    </xdr:to>
    <xdr:sp macro="" textlink="" fLocksText="0">
      <xdr:nvSpPr>
        <xdr:cNvPr id="8" name="txt_PracticeHeader" descr="Practice">
          <a:extLst>
            <a:ext uri="{FF2B5EF4-FFF2-40B4-BE49-F238E27FC236}">
              <a16:creationId xmlns:a16="http://schemas.microsoft.com/office/drawing/2014/main" xmlns="" id="{A52E07C1-0AE0-45B0-8800-0A38F1680D39}"/>
            </a:ext>
          </a:extLst>
        </xdr:cNvPr>
        <xdr:cNvSpPr txBox="1"/>
      </xdr:nvSpPr>
      <xdr:spPr>
        <a:xfrm>
          <a:off x="0" y="0"/>
          <a:ext cx="7781543" cy="402336"/>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800" b="1" kern="0" baseline="0">
              <a:solidFill>
                <a:schemeClr val="bg1"/>
              </a:solidFill>
              <a:latin typeface="Segoe UI Semibold" panose="020B0702040204020203" pitchFamily="34" charset="0"/>
              <a:ea typeface="Segoe UI" pitchFamily="34" charset="0"/>
              <a:cs typeface="Segoe UI Semibold" panose="020B0702040204020203" pitchFamily="34" charset="0"/>
            </a:rPr>
            <a:t>Practice</a:t>
          </a:r>
          <a:endParaRPr lang="en-US" sz="1800">
            <a:solidFill>
              <a:schemeClr val="bg1"/>
            </a:solidFill>
            <a:latin typeface="Segoe UI Semibold" panose="020B0702040204020203" pitchFamily="34" charset="0"/>
            <a:ea typeface="Segoe UI" pitchFamily="34" charset="0"/>
            <a:cs typeface="Segoe UI Light" panose="020B0502040204020203" pitchFamily="34" charset="0"/>
          </a:endParaRPr>
        </a:p>
      </xdr:txBody>
    </xdr:sp>
    <xdr:clientData/>
  </xdr:twoCellAnchor>
  <xdr:twoCellAnchor editAs="absolute">
    <xdr:from>
      <xdr:col>7</xdr:col>
      <xdr:colOff>709225</xdr:colOff>
      <xdr:row>3</xdr:row>
      <xdr:rowOff>17040</xdr:rowOff>
    </xdr:from>
    <xdr:to>
      <xdr:col>9</xdr:col>
      <xdr:colOff>604449</xdr:colOff>
      <xdr:row>6</xdr:row>
      <xdr:rowOff>85725</xdr:rowOff>
    </xdr:to>
    <xdr:sp macro="" textlink="" fLocksText="0">
      <xdr:nvSpPr>
        <xdr:cNvPr id="9" name="txt_Practice4" descr="In the winter, how many grapefruits did Dave sell?">
          <a:extLst>
            <a:ext uri="{FF2B5EF4-FFF2-40B4-BE49-F238E27FC236}">
              <a16:creationId xmlns:a16="http://schemas.microsoft.com/office/drawing/2014/main" xmlns="" id="{FCBDED11-EA97-4523-9393-AA448E4CFE99}"/>
            </a:ext>
          </a:extLst>
        </xdr:cNvPr>
        <xdr:cNvSpPr txBox="1"/>
      </xdr:nvSpPr>
      <xdr:spPr>
        <a:xfrm>
          <a:off x="5971787" y="588540"/>
          <a:ext cx="1371600" cy="6401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In the winter, how many grapefruits did Dave sell?</a:t>
          </a:r>
        </a:p>
      </xdr:txBody>
    </xdr:sp>
    <xdr:clientData/>
  </xdr:twoCellAnchor>
  <xdr:twoCellAnchor editAs="absolute">
    <xdr:from>
      <xdr:col>7</xdr:col>
      <xdr:colOff>298161</xdr:colOff>
      <xdr:row>3</xdr:row>
      <xdr:rowOff>17040</xdr:rowOff>
    </xdr:from>
    <xdr:to>
      <xdr:col>7</xdr:col>
      <xdr:colOff>692115</xdr:colOff>
      <xdr:row>5</xdr:row>
      <xdr:rowOff>10944</xdr:rowOff>
    </xdr:to>
    <xdr:sp macro="" textlink="" fLocksText="0">
      <xdr:nvSpPr>
        <xdr:cNvPr id="10" name="shp_Practice4" descr="Step 4">
          <a:extLst>
            <a:ext uri="{FF2B5EF4-FFF2-40B4-BE49-F238E27FC236}">
              <a16:creationId xmlns:a16="http://schemas.microsoft.com/office/drawing/2014/main" xmlns="" id="{D79E7C31-121E-4FDF-AF13-6154B702278E}"/>
            </a:ext>
          </a:extLst>
        </xdr:cNvPr>
        <xdr:cNvSpPr/>
      </xdr:nvSpPr>
      <xdr:spPr>
        <a:xfrm>
          <a:off x="5579773" y="588540"/>
          <a:ext cx="37490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r>
            <a:rPr lang="en-US" sz="1600" kern="1200">
              <a:solidFill>
                <a:schemeClr val="lt1"/>
              </a:solidFill>
              <a:latin typeface="Segoe UI Semibold" panose="020B0702040204020203" pitchFamily="34" charset="0"/>
              <a:ea typeface="+mn-ea"/>
              <a:cs typeface="Segoe UI Semibold" panose="020B0702040204020203" pitchFamily="34" charset="0"/>
            </a:rPr>
            <a:t>4</a:t>
          </a:r>
        </a:p>
      </xdr:txBody>
    </xdr:sp>
    <xdr:clientData/>
  </xdr:twoCellAnchor>
  <xdr:twoCellAnchor editAs="absolute">
    <xdr:from>
      <xdr:col>0</xdr:col>
      <xdr:colOff>0</xdr:colOff>
      <xdr:row>37</xdr:row>
      <xdr:rowOff>57150</xdr:rowOff>
    </xdr:from>
    <xdr:to>
      <xdr:col>10</xdr:col>
      <xdr:colOff>332993</xdr:colOff>
      <xdr:row>40</xdr:row>
      <xdr:rowOff>153162</xdr:rowOff>
    </xdr:to>
    <xdr:sp macro="" textlink="" fLocksText="0">
      <xdr:nvSpPr>
        <xdr:cNvPr id="11" name="txt_PracticeFooter">
          <a:extLst>
            <a:ext uri="{FF2B5EF4-FFF2-40B4-BE49-F238E27FC236}">
              <a16:creationId xmlns:a16="http://schemas.microsoft.com/office/drawing/2014/main" xmlns="" id="{43BA93A5-AFEA-445D-9799-83EBF2FC1911}"/>
            </a:ext>
          </a:extLst>
        </xdr:cNvPr>
        <xdr:cNvSpPr txBox="1"/>
      </xdr:nvSpPr>
      <xdr:spPr>
        <a:xfrm>
          <a:off x="0" y="7105650"/>
          <a:ext cx="7781543" cy="66751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4</xdr:col>
      <xdr:colOff>129539</xdr:colOff>
      <xdr:row>39</xdr:row>
      <xdr:rowOff>151638</xdr:rowOff>
    </xdr:from>
    <xdr:to>
      <xdr:col>5</xdr:col>
      <xdr:colOff>655891</xdr:colOff>
      <xdr:row>40</xdr:row>
      <xdr:rowOff>153162</xdr:rowOff>
    </xdr:to>
    <xdr:sp macro="" textlink="" fLocksText="0">
      <xdr:nvSpPr>
        <xdr:cNvPr id="12" name="txt_PracticeFeedback" descr="Feedback button, hyperlinked to web form">
          <a:hlinkClick xmlns:r="http://schemas.openxmlformats.org/officeDocument/2006/relationships" r:id="rId1" tooltip="Click to give us feedback on this tutorial"/>
          <a:extLst>
            <a:ext uri="{FF2B5EF4-FFF2-40B4-BE49-F238E27FC236}">
              <a16:creationId xmlns:a16="http://schemas.microsoft.com/office/drawing/2014/main" xmlns="" id="{78FDB83D-1998-4414-A297-E6799B279ED5}"/>
            </a:ext>
          </a:extLst>
        </xdr:cNvPr>
        <xdr:cNvSpPr/>
      </xdr:nvSpPr>
      <xdr:spPr>
        <a:xfrm>
          <a:off x="3291839" y="7581138"/>
          <a:ext cx="1197864" cy="192024"/>
        </a:xfrm>
        <a:prstGeom prst="rect">
          <a:avLst/>
        </a:prstGeom>
        <a:solidFill>
          <a:schemeClr val="bg1">
            <a:lumMod val="85000"/>
          </a:schemeClr>
        </a:solidFill>
        <a:ln>
          <a:no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100" u="sng">
              <a:solidFill>
                <a:sysClr val="windowText" lastClr="000000"/>
              </a:solidFill>
              <a:latin typeface="Segoe UI" pitchFamily="34" charset="0"/>
              <a:ea typeface="Segoe UI" pitchFamily="34" charset="0"/>
              <a:cs typeface="Segoe UI" pitchFamily="34" charset="0"/>
            </a:rPr>
            <a:t>Feedback</a:t>
          </a:r>
        </a:p>
      </xdr:txBody>
    </xdr:sp>
    <xdr:clientData/>
  </xdr:twoCellAnchor>
  <xdr:twoCellAnchor editAs="absolute">
    <xdr:from>
      <xdr:col>8</xdr:col>
      <xdr:colOff>284163</xdr:colOff>
      <xdr:row>38</xdr:row>
      <xdr:rowOff>22098</xdr:rowOff>
    </xdr:from>
    <xdr:to>
      <xdr:col>10</xdr:col>
      <xdr:colOff>62420</xdr:colOff>
      <xdr:row>39</xdr:row>
      <xdr:rowOff>188214</xdr:rowOff>
    </xdr:to>
    <xdr:sp macro="" textlink="" fLocksText="0">
      <xdr:nvSpPr>
        <xdr:cNvPr id="13" name="txt_PracticeNext" descr="Next step button, hyperlinked to next sheet">
          <a:hlinkClick xmlns:r="http://schemas.openxmlformats.org/officeDocument/2006/relationships" r:id="rId2" tooltip="Click here to go to the next sheet"/>
          <a:extLst>
            <a:ext uri="{FF2B5EF4-FFF2-40B4-BE49-F238E27FC236}">
              <a16:creationId xmlns:a16="http://schemas.microsoft.com/office/drawing/2014/main" xmlns="" id="{B4217FDD-B8A3-430F-923C-9B4DFF6288E4}"/>
            </a:ext>
          </a:extLst>
        </xdr:cNvPr>
        <xdr:cNvSpPr/>
      </xdr:nvSpPr>
      <xdr:spPr>
        <a:xfrm>
          <a:off x="6261100" y="7261098"/>
          <a:ext cx="1207008" cy="3566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0</xdr:col>
      <xdr:colOff>304800</xdr:colOff>
      <xdr:row>38</xdr:row>
      <xdr:rowOff>22098</xdr:rowOff>
    </xdr:from>
    <xdr:to>
      <xdr:col>1</xdr:col>
      <xdr:colOff>902208</xdr:colOff>
      <xdr:row>39</xdr:row>
      <xdr:rowOff>188214</xdr:rowOff>
    </xdr:to>
    <xdr:sp macro="" textlink="" fLocksText="0">
      <xdr:nvSpPr>
        <xdr:cNvPr id="14" name="txt_PracticePrevious" descr="Previous step button, hyperlinked to previous sheet">
          <a:hlinkClick xmlns:r="http://schemas.openxmlformats.org/officeDocument/2006/relationships" r:id="rId3" tooltip="Click here to go back to the previous sheet"/>
          <a:extLst>
            <a:ext uri="{FF2B5EF4-FFF2-40B4-BE49-F238E27FC236}">
              <a16:creationId xmlns:a16="http://schemas.microsoft.com/office/drawing/2014/main" xmlns="" id="{AEB588DA-1AB8-4278-9502-7317D3BB1594}"/>
            </a:ext>
          </a:extLst>
        </xdr:cNvPr>
        <xdr:cNvSpPr/>
      </xdr:nvSpPr>
      <xdr:spPr>
        <a:xfrm flipH="1">
          <a:off x="304800" y="7261098"/>
          <a:ext cx="1207008" cy="3566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202165</xdr:colOff>
      <xdr:row>14</xdr:row>
      <xdr:rowOff>83872</xdr:rowOff>
    </xdr:from>
    <xdr:to>
      <xdr:col>6</xdr:col>
      <xdr:colOff>47476</xdr:colOff>
      <xdr:row>14</xdr:row>
      <xdr:rowOff>87047</xdr:rowOff>
    </xdr:to>
    <xdr:cxnSp macro="">
      <xdr:nvCxnSpPr>
        <xdr:cNvPr id="2" name="Straight Connector 1">
          <a:extLst>
            <a:ext uri="{FF2B5EF4-FFF2-40B4-BE49-F238E27FC236}">
              <a16:creationId xmlns:a16="http://schemas.microsoft.com/office/drawing/2014/main" xmlns="" id="{83FC1E8B-BEDA-4C45-80B4-CA6FAEBB71A2}"/>
            </a:ext>
          </a:extLst>
        </xdr:cNvPr>
        <xdr:cNvCxnSpPr/>
      </xdr:nvCxnSpPr>
      <xdr:spPr>
        <a:xfrm>
          <a:off x="792715" y="2617522"/>
          <a:ext cx="8551161" cy="3175"/>
        </a:xfrm>
        <a:prstGeom prst="line">
          <a:avLst/>
        </a:prstGeom>
        <a:ln w="127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171451</xdr:colOff>
      <xdr:row>1</xdr:row>
      <xdr:rowOff>82550</xdr:rowOff>
    </xdr:from>
    <xdr:to>
      <xdr:col>6</xdr:col>
      <xdr:colOff>171732</xdr:colOff>
      <xdr:row>32</xdr:row>
      <xdr:rowOff>101277</xdr:rowOff>
    </xdr:to>
    <xdr:sp macro="" textlink="">
      <xdr:nvSpPr>
        <xdr:cNvPr id="3" name="Rectangle 2">
          <a:extLst>
            <a:ext uri="{FF2B5EF4-FFF2-40B4-BE49-F238E27FC236}">
              <a16:creationId xmlns:a16="http://schemas.microsoft.com/office/drawing/2014/main" xmlns="" id="{DA945815-357E-4462-8D0B-45A4CEB8ACE8}"/>
            </a:ext>
          </a:extLst>
        </xdr:cNvPr>
        <xdr:cNvSpPr/>
      </xdr:nvSpPr>
      <xdr:spPr>
        <a:xfrm>
          <a:off x="171451" y="268288"/>
          <a:ext cx="9963431" cy="5776589"/>
        </a:xfrm>
        <a:prstGeom prst="rect">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0</xdr:col>
      <xdr:colOff>171451</xdr:colOff>
      <xdr:row>7</xdr:row>
      <xdr:rowOff>25246</xdr:rowOff>
    </xdr:from>
    <xdr:to>
      <xdr:col>6</xdr:col>
      <xdr:colOff>181287</xdr:colOff>
      <xdr:row>32</xdr:row>
      <xdr:rowOff>101278</xdr:rowOff>
    </xdr:to>
    <xdr:sp macro="" textlink="">
      <xdr:nvSpPr>
        <xdr:cNvPr id="4" name="Rectangle 3">
          <a:extLst>
            <a:ext uri="{FF2B5EF4-FFF2-40B4-BE49-F238E27FC236}">
              <a16:creationId xmlns:a16="http://schemas.microsoft.com/office/drawing/2014/main" xmlns="" id="{54159935-7B91-4437-A02A-FBAD3FC45E5A}"/>
            </a:ext>
          </a:extLst>
        </xdr:cNvPr>
        <xdr:cNvSpPr/>
      </xdr:nvSpPr>
      <xdr:spPr>
        <a:xfrm>
          <a:off x="171451" y="1292071"/>
          <a:ext cx="9306236" cy="4600407"/>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189760</xdr:colOff>
      <xdr:row>7</xdr:row>
      <xdr:rowOff>9525</xdr:rowOff>
    </xdr:from>
    <xdr:to>
      <xdr:col>5</xdr:col>
      <xdr:colOff>320807</xdr:colOff>
      <xdr:row>12</xdr:row>
      <xdr:rowOff>28575</xdr:rowOff>
    </xdr:to>
    <xdr:sp macro="" textlink="">
      <xdr:nvSpPr>
        <xdr:cNvPr id="5" name="Welcome Message" descr="But we encourage you to keep going! There's more to discover...">
          <a:extLst>
            <a:ext uri="{FF2B5EF4-FFF2-40B4-BE49-F238E27FC236}">
              <a16:creationId xmlns:a16="http://schemas.microsoft.com/office/drawing/2014/main" xmlns="" id="{3069ED65-DB6A-482F-B7D1-4513872B138C}"/>
            </a:ext>
          </a:extLst>
        </xdr:cNvPr>
        <xdr:cNvSpPr txBox="1"/>
      </xdr:nvSpPr>
      <xdr:spPr>
        <a:xfrm>
          <a:off x="780310" y="1276350"/>
          <a:ext cx="8246347" cy="923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eaLnBrk="1" fontAlgn="auto" latinLnBrk="0" hangingPunct="1"/>
          <a:r>
            <a:rPr lang="en-US" sz="1400" b="0" i="0" baseline="0">
              <a:solidFill>
                <a:schemeClr val="tx1">
                  <a:lumMod val="75000"/>
                  <a:lumOff val="25000"/>
                </a:schemeClr>
              </a:solidFill>
              <a:effectLst/>
              <a:latin typeface="Segoe UI Light" panose="020B0502040204020203" pitchFamily="34" charset="0"/>
              <a:ea typeface="Segoe UI" pitchFamily="34" charset="0"/>
              <a:cs typeface="Segoe UI Light" panose="020B0502040204020203" pitchFamily="34" charset="0"/>
            </a:rPr>
            <a:t>But we encourage you to keep going! There's more to discover...</a:t>
          </a:r>
          <a:endParaRPr lang="en-US" sz="1400" b="0">
            <a:solidFill>
              <a:schemeClr val="tx1">
                <a:lumMod val="75000"/>
                <a:lumOff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1</xdr:col>
      <xdr:colOff>161106</xdr:colOff>
      <xdr:row>1</xdr:row>
      <xdr:rowOff>76200</xdr:rowOff>
    </xdr:from>
    <xdr:to>
      <xdr:col>4</xdr:col>
      <xdr:colOff>257627</xdr:colOff>
      <xdr:row>7</xdr:row>
      <xdr:rowOff>14567</xdr:rowOff>
    </xdr:to>
    <xdr:sp macro="" textlink="">
      <xdr:nvSpPr>
        <xdr:cNvPr id="6" name="Welcome Message" descr="Good job. You made it">
          <a:extLst>
            <a:ext uri="{FF2B5EF4-FFF2-40B4-BE49-F238E27FC236}">
              <a16:creationId xmlns:a16="http://schemas.microsoft.com/office/drawing/2014/main" xmlns="" id="{511FA78F-6B99-4F71-9A9E-BAF5589B198E}"/>
            </a:ext>
          </a:extLst>
        </xdr:cNvPr>
        <xdr:cNvSpPr txBox="1"/>
      </xdr:nvSpPr>
      <xdr:spPr>
        <a:xfrm>
          <a:off x="751656" y="257175"/>
          <a:ext cx="7621271" cy="10242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eaLnBrk="1" fontAlgn="auto" latinLnBrk="0" hangingPunct="1"/>
          <a:r>
            <a:rPr lang="en-US" sz="2600" b="0" i="0" baseline="0">
              <a:solidFill>
                <a:schemeClr val="bg1"/>
              </a:solidFill>
              <a:effectLst/>
              <a:latin typeface="Segoe UI Light" pitchFamily="34" charset="0"/>
              <a:ea typeface="Segoe UI" pitchFamily="34" charset="0"/>
              <a:cs typeface="Segoe UI" pitchFamily="34" charset="0"/>
            </a:rPr>
            <a:t>Good job. Aren't PivotTables great?</a:t>
          </a:r>
          <a:endParaRPr lang="en-US" sz="2600" b="0">
            <a:latin typeface="Segoe UI Light" pitchFamily="34" charset="0"/>
            <a:ea typeface="Segoe UI" pitchFamily="34" charset="0"/>
            <a:cs typeface="Segoe UI" pitchFamily="34" charset="0"/>
          </a:endParaRPr>
        </a:p>
      </xdr:txBody>
    </xdr:sp>
    <xdr:clientData/>
  </xdr:twoCellAnchor>
  <xdr:twoCellAnchor editAs="absolute">
    <xdr:from>
      <xdr:col>4</xdr:col>
      <xdr:colOff>232569</xdr:colOff>
      <xdr:row>27</xdr:row>
      <xdr:rowOff>36697</xdr:rowOff>
    </xdr:from>
    <xdr:to>
      <xdr:col>5</xdr:col>
      <xdr:colOff>74978</xdr:colOff>
      <xdr:row>29</xdr:row>
      <xdr:rowOff>93069</xdr:rowOff>
    </xdr:to>
    <xdr:sp macro="" textlink="">
      <xdr:nvSpPr>
        <xdr:cNvPr id="7" name="Freeform 10" descr=" ">
          <a:hlinkClick xmlns:r="http://schemas.openxmlformats.org/officeDocument/2006/relationships" r:id="rId1" tooltip="Select to give feedback"/>
          <a:extLst>
            <a:ext uri="{FF2B5EF4-FFF2-40B4-BE49-F238E27FC236}">
              <a16:creationId xmlns:a16="http://schemas.microsoft.com/office/drawing/2014/main" xmlns="" id="{99C38FEA-18EE-4CC2-934C-D37D4C989E34}"/>
            </a:ext>
          </a:extLst>
        </xdr:cNvPr>
        <xdr:cNvSpPr/>
      </xdr:nvSpPr>
      <xdr:spPr>
        <a:xfrm>
          <a:off x="8347869" y="4923022"/>
          <a:ext cx="432959" cy="418322"/>
        </a:xfrm>
        <a:custGeom>
          <a:avLst/>
          <a:gdLst>
            <a:gd name="connsiteX0" fmla="*/ 283692 w 643468"/>
            <a:gd name="connsiteY0" fmla="*/ 156886 h 643468"/>
            <a:gd name="connsiteX1" fmla="*/ 315574 w 643468"/>
            <a:gd name="connsiteY1" fmla="*/ 156886 h 643468"/>
            <a:gd name="connsiteX2" fmla="*/ 486582 w 643468"/>
            <a:gd name="connsiteY2" fmla="*/ 321734 h 643468"/>
            <a:gd name="connsiteX3" fmla="*/ 315574 w 643468"/>
            <a:gd name="connsiteY3" fmla="*/ 486582 h 643468"/>
            <a:gd name="connsiteX4" fmla="*/ 283692 w 643468"/>
            <a:gd name="connsiteY4" fmla="*/ 486582 h 643468"/>
            <a:gd name="connsiteX5" fmla="*/ 441545 w 643468"/>
            <a:gd name="connsiteY5" fmla="*/ 334415 h 643468"/>
            <a:gd name="connsiteX6" fmla="*/ 156887 w 643468"/>
            <a:gd name="connsiteY6" fmla="*/ 334415 h 643468"/>
            <a:gd name="connsiteX7" fmla="*/ 156887 w 643468"/>
            <a:gd name="connsiteY7" fmla="*/ 309054 h 643468"/>
            <a:gd name="connsiteX8" fmla="*/ 441545 w 643468"/>
            <a:gd name="connsiteY8" fmla="*/ 309054 h 643468"/>
            <a:gd name="connsiteX9" fmla="*/ 321733 w 643468"/>
            <a:gd name="connsiteY9" fmla="*/ 16937 h 643468"/>
            <a:gd name="connsiteX10" fmla="*/ 16936 w 643468"/>
            <a:gd name="connsiteY10" fmla="*/ 321734 h 643468"/>
            <a:gd name="connsiteX11" fmla="*/ 321733 w 643468"/>
            <a:gd name="connsiteY11" fmla="*/ 626531 h 643468"/>
            <a:gd name="connsiteX12" fmla="*/ 626530 w 643468"/>
            <a:gd name="connsiteY12" fmla="*/ 321734 h 643468"/>
            <a:gd name="connsiteX13" fmla="*/ 321733 w 643468"/>
            <a:gd name="connsiteY13" fmla="*/ 16937 h 643468"/>
            <a:gd name="connsiteX14" fmla="*/ 321734 w 643468"/>
            <a:gd name="connsiteY14" fmla="*/ 0 h 643468"/>
            <a:gd name="connsiteX15" fmla="*/ 643468 w 643468"/>
            <a:gd name="connsiteY15" fmla="*/ 321734 h 643468"/>
            <a:gd name="connsiteX16" fmla="*/ 321734 w 643468"/>
            <a:gd name="connsiteY16" fmla="*/ 643468 h 643468"/>
            <a:gd name="connsiteX17" fmla="*/ 0 w 643468"/>
            <a:gd name="connsiteY17" fmla="*/ 321734 h 643468"/>
            <a:gd name="connsiteX18" fmla="*/ 321734 w 643468"/>
            <a:gd name="connsiteY18" fmla="*/ 0 h 64346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Lst>
          <a:rect l="l" t="t" r="r" b="b"/>
          <a:pathLst>
            <a:path w="643468" h="643468">
              <a:moveTo>
                <a:pt x="283692" y="156886"/>
              </a:moveTo>
              <a:lnTo>
                <a:pt x="315574" y="156886"/>
              </a:lnTo>
              <a:lnTo>
                <a:pt x="486582" y="321734"/>
              </a:lnTo>
              <a:lnTo>
                <a:pt x="315574" y="486582"/>
              </a:lnTo>
              <a:lnTo>
                <a:pt x="283692" y="486582"/>
              </a:lnTo>
              <a:lnTo>
                <a:pt x="441545" y="334415"/>
              </a:lnTo>
              <a:lnTo>
                <a:pt x="156887" y="334415"/>
              </a:lnTo>
              <a:lnTo>
                <a:pt x="156887" y="309054"/>
              </a:lnTo>
              <a:lnTo>
                <a:pt x="441545" y="309054"/>
              </a:lnTo>
              <a:close/>
              <a:moveTo>
                <a:pt x="321733" y="16937"/>
              </a:moveTo>
              <a:cubicBezTo>
                <a:pt x="153398" y="16937"/>
                <a:pt x="16936" y="153399"/>
                <a:pt x="16936" y="321734"/>
              </a:cubicBezTo>
              <a:cubicBezTo>
                <a:pt x="16936" y="490069"/>
                <a:pt x="153398" y="626531"/>
                <a:pt x="321733" y="626531"/>
              </a:cubicBezTo>
              <a:cubicBezTo>
                <a:pt x="490068" y="626531"/>
                <a:pt x="626530" y="490069"/>
                <a:pt x="626530" y="321734"/>
              </a:cubicBezTo>
              <a:cubicBezTo>
                <a:pt x="626530" y="153399"/>
                <a:pt x="490068" y="16937"/>
                <a:pt x="321733" y="16937"/>
              </a:cubicBezTo>
              <a:close/>
              <a:moveTo>
                <a:pt x="321734" y="0"/>
              </a:moveTo>
              <a:cubicBezTo>
                <a:pt x="499423" y="0"/>
                <a:pt x="643468" y="144045"/>
                <a:pt x="643468" y="321734"/>
              </a:cubicBezTo>
              <a:cubicBezTo>
                <a:pt x="643468" y="499423"/>
                <a:pt x="499423" y="643468"/>
                <a:pt x="321734" y="643468"/>
              </a:cubicBezTo>
              <a:cubicBezTo>
                <a:pt x="144045" y="643468"/>
                <a:pt x="0" y="499423"/>
                <a:pt x="0" y="321734"/>
              </a:cubicBezTo>
              <a:cubicBezTo>
                <a:pt x="0" y="144045"/>
                <a:pt x="144045" y="0"/>
                <a:pt x="321734" y="0"/>
              </a:cubicBezTo>
              <a:close/>
            </a:path>
          </a:pathLst>
        </a:cu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solidFill>
                <a:schemeClr val="tx1"/>
              </a:solidFill>
            </a:rPr>
            <a:t> </a:t>
          </a:r>
        </a:p>
      </xdr:txBody>
    </xdr:sp>
    <xdr:clientData/>
  </xdr:twoCellAnchor>
  <xdr:twoCellAnchor editAs="absolute">
    <xdr:from>
      <xdr:col>1</xdr:col>
      <xdr:colOff>3096438</xdr:colOff>
      <xdr:row>27</xdr:row>
      <xdr:rowOff>18741</xdr:rowOff>
    </xdr:from>
    <xdr:to>
      <xdr:col>4</xdr:col>
      <xdr:colOff>174401</xdr:colOff>
      <xdr:row>29</xdr:row>
      <xdr:rowOff>92899</xdr:rowOff>
    </xdr:to>
    <xdr:sp macro="" textlink="">
      <xdr:nvSpPr>
        <xdr:cNvPr id="8" name="TextBox 7" descr="Give us feedback on this tutorial">
          <a:hlinkClick xmlns:r="http://schemas.openxmlformats.org/officeDocument/2006/relationships" r:id="rId1" tooltip="Select to give feedback"/>
          <a:extLst>
            <a:ext uri="{FF2B5EF4-FFF2-40B4-BE49-F238E27FC236}">
              <a16:creationId xmlns:a16="http://schemas.microsoft.com/office/drawing/2014/main" xmlns="" id="{5E796F47-62EF-4C20-B20D-51C3B376D7B4}"/>
            </a:ext>
          </a:extLst>
        </xdr:cNvPr>
        <xdr:cNvSpPr txBox="1"/>
      </xdr:nvSpPr>
      <xdr:spPr>
        <a:xfrm>
          <a:off x="3686988" y="4905066"/>
          <a:ext cx="4602713" cy="4361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800" baseline="0">
              <a:solidFill>
                <a:srgbClr val="217346"/>
              </a:solidFill>
              <a:effectLst/>
              <a:latin typeface="Segoe UI Light" panose="020B0502040204020203" pitchFamily="34" charset="0"/>
              <a:ea typeface="+mn-ea"/>
              <a:cs typeface="Segoe UI Light" panose="020B0502040204020203" pitchFamily="34" charset="0"/>
            </a:rPr>
            <a:t>Give us feedback on this tutorial</a:t>
          </a:r>
          <a:endParaRPr lang="en-US" sz="1800">
            <a:solidFill>
              <a:srgbClr val="217346"/>
            </a:solidFill>
            <a:latin typeface="Segoe UI Light" panose="020B0502040204020203" pitchFamily="34" charset="0"/>
            <a:cs typeface="Segoe UI Light" panose="020B0502040204020203" pitchFamily="34" charset="0"/>
          </a:endParaRPr>
        </a:p>
      </xdr:txBody>
    </xdr:sp>
    <xdr:clientData/>
  </xdr:twoCellAnchor>
  <xdr:twoCellAnchor editAs="absolute">
    <xdr:from>
      <xdr:col>1</xdr:col>
      <xdr:colOff>201741</xdr:colOff>
      <xdr:row>26</xdr:row>
      <xdr:rowOff>68496</xdr:rowOff>
    </xdr:from>
    <xdr:to>
      <xdr:col>5</xdr:col>
      <xdr:colOff>171450</xdr:colOff>
      <xdr:row>26</xdr:row>
      <xdr:rowOff>68496</xdr:rowOff>
    </xdr:to>
    <xdr:cxnSp macro="">
      <xdr:nvCxnSpPr>
        <xdr:cNvPr id="9" name="Straight Connector 8">
          <a:extLst>
            <a:ext uri="{FF2B5EF4-FFF2-40B4-BE49-F238E27FC236}">
              <a16:creationId xmlns:a16="http://schemas.microsoft.com/office/drawing/2014/main" xmlns="" id="{E64914CF-CD22-4D1F-A609-7545C08B51FA}"/>
            </a:ext>
          </a:extLst>
        </xdr:cNvPr>
        <xdr:cNvCxnSpPr/>
      </xdr:nvCxnSpPr>
      <xdr:spPr>
        <a:xfrm>
          <a:off x="792291" y="4773846"/>
          <a:ext cx="8085009" cy="0"/>
        </a:xfrm>
        <a:prstGeom prst="line">
          <a:avLst/>
        </a:prstGeom>
        <a:ln w="127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3</xdr:col>
      <xdr:colOff>8506</xdr:colOff>
      <xdr:row>12</xdr:row>
      <xdr:rowOff>39951</xdr:rowOff>
    </xdr:from>
    <xdr:to>
      <xdr:col>5</xdr:col>
      <xdr:colOff>199006</xdr:colOff>
      <xdr:row>20</xdr:row>
      <xdr:rowOff>55191</xdr:rowOff>
    </xdr:to>
    <xdr:sp macro="" textlink="">
      <xdr:nvSpPr>
        <xdr:cNvPr id="10" name="TextBox 9" descr="Community&#10;Connect with other Excel fans. They can help you, and you can help them.">
          <a:hlinkClick xmlns:r="http://schemas.openxmlformats.org/officeDocument/2006/relationships" r:id="rId2" tooltip="Select to connect with the Excel Tech Community"/>
          <a:extLst>
            <a:ext uri="{FF2B5EF4-FFF2-40B4-BE49-F238E27FC236}">
              <a16:creationId xmlns:a16="http://schemas.microsoft.com/office/drawing/2014/main" xmlns="" id="{E7183862-E870-479F-8C1E-52256B7E8079}"/>
            </a:ext>
          </a:extLst>
        </xdr:cNvPr>
        <xdr:cNvSpPr txBox="1"/>
      </xdr:nvSpPr>
      <xdr:spPr>
        <a:xfrm>
          <a:off x="7533256" y="2211651"/>
          <a:ext cx="1371600" cy="1463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1" baseline="0">
              <a:solidFill>
                <a:srgbClr val="217346"/>
              </a:solidFill>
              <a:effectLst/>
              <a:latin typeface="Segoe UI Light" panose="020B0502040204020203" pitchFamily="34" charset="0"/>
              <a:ea typeface="+mn-ea"/>
              <a:cs typeface="Segoe UI Light" panose="020B0502040204020203" pitchFamily="34" charset="0"/>
            </a:rPr>
            <a:t>Community</a:t>
          </a:r>
          <a:r>
            <a:rPr lang="en-US" sz="1200" baseline="0">
              <a:solidFill>
                <a:srgbClr val="217346"/>
              </a:solidFill>
              <a:effectLst/>
              <a:latin typeface="Segoe UI Light" panose="020B0502040204020203" pitchFamily="34" charset="0"/>
              <a:ea typeface="+mn-ea"/>
              <a:cs typeface="Segoe UI Light" panose="020B0502040204020203" pitchFamily="34" charset="0"/>
            </a:rPr>
            <a:t>
</a:t>
          </a:r>
          <a:r>
            <a:rPr lang="en-US" sz="1200" baseline="0">
              <a:solidFill>
                <a:sysClr val="windowText" lastClr="000000"/>
              </a:solidFill>
              <a:effectLst/>
              <a:latin typeface="Segoe UI Light" panose="020B0502040204020203" pitchFamily="34" charset="0"/>
              <a:ea typeface="+mn-ea"/>
              <a:cs typeface="Segoe UI Light" panose="020B0502040204020203" pitchFamily="34" charset="0"/>
            </a:rPr>
            <a:t>Connect with other Excel fans. They can help you, and you can help them.</a:t>
          </a:r>
          <a:endParaRPr lang="en-US" sz="1100" baseline="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1</xdr:col>
      <xdr:colOff>257175</xdr:colOff>
      <xdr:row>12</xdr:row>
      <xdr:rowOff>38099</xdr:rowOff>
    </xdr:from>
    <xdr:to>
      <xdr:col>1</xdr:col>
      <xdr:colOff>2143123</xdr:colOff>
      <xdr:row>22</xdr:row>
      <xdr:rowOff>169690</xdr:rowOff>
    </xdr:to>
    <xdr:grpSp>
      <xdr:nvGrpSpPr>
        <xdr:cNvPr id="22" name="Group 21">
          <a:extLst>
            <a:ext uri="{FF2B5EF4-FFF2-40B4-BE49-F238E27FC236}">
              <a16:creationId xmlns:a16="http://schemas.microsoft.com/office/drawing/2014/main" xmlns="" id="{E3B4C7F0-9938-4B48-8D4A-4723351D6137}"/>
            </a:ext>
          </a:extLst>
        </xdr:cNvPr>
        <xdr:cNvGrpSpPr/>
      </xdr:nvGrpSpPr>
      <xdr:grpSpPr>
        <a:xfrm>
          <a:off x="847725" y="2209799"/>
          <a:ext cx="1885948" cy="1941341"/>
          <a:chOff x="847725" y="2209799"/>
          <a:chExt cx="1885948" cy="1941341"/>
        </a:xfrm>
      </xdr:grpSpPr>
      <xdr:sp macro="" textlink="">
        <xdr:nvSpPr>
          <xdr:cNvPr id="13" name="TextBox 12" descr="Learn more">
            <a:hlinkClick xmlns:r="http://schemas.openxmlformats.org/officeDocument/2006/relationships" r:id="rId3"/>
            <a:extLst>
              <a:ext uri="{FF2B5EF4-FFF2-40B4-BE49-F238E27FC236}">
                <a16:creationId xmlns:a16="http://schemas.microsoft.com/office/drawing/2014/main" xmlns="" id="{F4C33D48-0368-47FD-9637-91F0D88264A8}"/>
              </a:ext>
            </a:extLst>
          </xdr:cNvPr>
          <xdr:cNvSpPr txBox="1"/>
        </xdr:nvSpPr>
        <xdr:spPr>
          <a:xfrm>
            <a:off x="1362074" y="3728515"/>
            <a:ext cx="1222244" cy="422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sp macro="" textlink="">
        <xdr:nvSpPr>
          <xdr:cNvPr id="14" name="TextBox 13" descr="More Pivot info&#10;Discover more you can do by reading this helpful article on PivotTables.">
            <a:hlinkClick xmlns:r="http://schemas.openxmlformats.org/officeDocument/2006/relationships" r:id="rId3" tooltip="Select to learn more about PivotTables"/>
            <a:extLst>
              <a:ext uri="{FF2B5EF4-FFF2-40B4-BE49-F238E27FC236}">
                <a16:creationId xmlns:a16="http://schemas.microsoft.com/office/drawing/2014/main" xmlns="" id="{404F5309-E1AE-4E66-910F-9CCC95E3951B}"/>
              </a:ext>
            </a:extLst>
          </xdr:cNvPr>
          <xdr:cNvSpPr txBox="1"/>
        </xdr:nvSpPr>
        <xdr:spPr>
          <a:xfrm>
            <a:off x="1362073" y="2209799"/>
            <a:ext cx="1371600" cy="1463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1" baseline="0">
                <a:solidFill>
                  <a:srgbClr val="217346"/>
                </a:solidFill>
                <a:effectLst/>
                <a:latin typeface="Segoe UI Light" panose="020B0502040204020203" pitchFamily="34" charset="0"/>
                <a:ea typeface="+mn-ea"/>
                <a:cs typeface="Segoe UI Light" panose="020B0502040204020203" pitchFamily="34" charset="0"/>
              </a:rPr>
              <a:t>More Pivot info</a:t>
            </a:r>
            <a:r>
              <a:rPr lang="en-US" sz="1200" baseline="0">
                <a:solidFill>
                  <a:srgbClr val="217346"/>
                </a:solidFill>
                <a:effectLst/>
                <a:latin typeface="Segoe UI Light" panose="020B0502040204020203" pitchFamily="34" charset="0"/>
                <a:ea typeface="+mn-ea"/>
                <a:cs typeface="Segoe UI Light" panose="020B0502040204020203" pitchFamily="34" charset="0"/>
              </a:rPr>
              <a:t>
</a:t>
            </a:r>
            <a:r>
              <a:rPr lang="en-US" sz="1200" baseline="0">
                <a:solidFill>
                  <a:sysClr val="windowText" lastClr="000000"/>
                </a:solidFill>
                <a:effectLst/>
                <a:latin typeface="Segoe UI Light" panose="020B0502040204020203" pitchFamily="34" charset="0"/>
                <a:ea typeface="+mn-ea"/>
                <a:cs typeface="Segoe UI Light" panose="020B0502040204020203" pitchFamily="34" charset="0"/>
              </a:rPr>
              <a:t>Discover more you can do by reading this helpful article on PivotTables.</a:t>
            </a:r>
            <a:endParaRPr lang="en-US" sz="1100" baseline="0">
              <a:solidFill>
                <a:sysClr val="windowText" lastClr="000000"/>
              </a:solidFill>
              <a:effectLst/>
              <a:latin typeface="Segoe UI" panose="020B0502040204020203" pitchFamily="34" charset="0"/>
              <a:ea typeface="+mn-ea"/>
              <a:cs typeface="Segoe UI" panose="020B0502040204020203" pitchFamily="34" charset="0"/>
            </a:endParaRPr>
          </a:p>
        </xdr:txBody>
      </xdr:sp>
      <xdr:pic>
        <xdr:nvPicPr>
          <xdr:cNvPr id="15" name="Picture 14">
            <a:hlinkClick xmlns:r="http://schemas.openxmlformats.org/officeDocument/2006/relationships" r:id="rId3" tooltip="Select to learn more about PivotTables"/>
            <a:extLst>
              <a:ext uri="{FF2B5EF4-FFF2-40B4-BE49-F238E27FC236}">
                <a16:creationId xmlns:a16="http://schemas.microsoft.com/office/drawing/2014/main" xmlns="" id="{6A32F480-D3CA-4E6F-BA6D-55989F2B4E66}"/>
              </a:ext>
            </a:extLst>
          </xdr:cNvPr>
          <xdr:cNvPicPr>
            <a:picLocks noChangeAspect="1"/>
          </xdr:cNvPicPr>
        </xdr:nvPicPr>
        <xdr:blipFill>
          <a:blip xmlns:r="http://schemas.openxmlformats.org/officeDocument/2006/relationships" r:embed="rId4"/>
          <a:stretch>
            <a:fillRect/>
          </a:stretch>
        </xdr:blipFill>
        <xdr:spPr>
          <a:xfrm>
            <a:off x="847725" y="2305050"/>
            <a:ext cx="550870" cy="378920"/>
          </a:xfrm>
          <a:prstGeom prst="rect">
            <a:avLst/>
          </a:prstGeom>
        </xdr:spPr>
      </xdr:pic>
    </xdr:grpSp>
    <xdr:clientData/>
  </xdr:twoCellAnchor>
  <xdr:twoCellAnchor>
    <xdr:from>
      <xdr:col>1</xdr:col>
      <xdr:colOff>2393403</xdr:colOff>
      <xdr:row>12</xdr:row>
      <xdr:rowOff>0</xdr:rowOff>
    </xdr:from>
    <xdr:to>
      <xdr:col>1</xdr:col>
      <xdr:colOff>4054364</xdr:colOff>
      <xdr:row>22</xdr:row>
      <xdr:rowOff>169690</xdr:rowOff>
    </xdr:to>
    <xdr:grpSp>
      <xdr:nvGrpSpPr>
        <xdr:cNvPr id="23" name="Group 22">
          <a:extLst>
            <a:ext uri="{FF2B5EF4-FFF2-40B4-BE49-F238E27FC236}">
              <a16:creationId xmlns:a16="http://schemas.microsoft.com/office/drawing/2014/main" xmlns="" id="{9F552F16-4CE0-4BBC-AE78-2EA091C3B227}"/>
            </a:ext>
          </a:extLst>
        </xdr:cNvPr>
        <xdr:cNvGrpSpPr/>
      </xdr:nvGrpSpPr>
      <xdr:grpSpPr>
        <a:xfrm>
          <a:off x="2983953" y="2171700"/>
          <a:ext cx="1660961" cy="1979440"/>
          <a:chOff x="2983953" y="2171700"/>
          <a:chExt cx="1660961" cy="1979440"/>
        </a:xfrm>
      </xdr:grpSpPr>
      <xdr:pic>
        <xdr:nvPicPr>
          <xdr:cNvPr id="16" name="Graphic 15">
            <a:hlinkClick xmlns:r="http://schemas.openxmlformats.org/officeDocument/2006/relationships" r:id="rId5" tooltip="Select to learn more about refreshing PivotTables"/>
            <a:extLst>
              <a:ext uri="{FF2B5EF4-FFF2-40B4-BE49-F238E27FC236}">
                <a16:creationId xmlns:a16="http://schemas.microsoft.com/office/drawing/2014/main" xmlns="" id="{26DC0DAA-ACD0-4AB0-8481-4011E98F8E48}"/>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xmlns="" r:embed="rId7"/>
              </a:ext>
            </a:extLst>
          </a:blip>
          <a:stretch>
            <a:fillRect/>
          </a:stretch>
        </xdr:blipFill>
        <xdr:spPr>
          <a:xfrm flipH="1">
            <a:off x="2983953" y="2311031"/>
            <a:ext cx="281592" cy="281592"/>
          </a:xfrm>
          <a:prstGeom prst="rect">
            <a:avLst/>
          </a:prstGeom>
        </xdr:spPr>
      </xdr:pic>
      <xdr:sp macro="" textlink="">
        <xdr:nvSpPr>
          <xdr:cNvPr id="17" name="TextBox 16" descr="About refresh&#10;Read this important article about how to refresh PivotTables. ">
            <a:hlinkClick xmlns:r="http://schemas.openxmlformats.org/officeDocument/2006/relationships" r:id="rId5" tooltip="Select to learn more about refreshing PivotTables"/>
            <a:extLst>
              <a:ext uri="{FF2B5EF4-FFF2-40B4-BE49-F238E27FC236}">
                <a16:creationId xmlns:a16="http://schemas.microsoft.com/office/drawing/2014/main" xmlns="" id="{E45C3434-160B-49B7-B3E2-240541ECEB77}"/>
              </a:ext>
            </a:extLst>
          </xdr:cNvPr>
          <xdr:cNvSpPr txBox="1"/>
        </xdr:nvSpPr>
        <xdr:spPr>
          <a:xfrm>
            <a:off x="3273314" y="2171700"/>
            <a:ext cx="1371600" cy="1463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1" baseline="0">
                <a:solidFill>
                  <a:srgbClr val="217346"/>
                </a:solidFill>
                <a:effectLst/>
                <a:latin typeface="Segoe UI Light" panose="020B0502040204020203" pitchFamily="34" charset="0"/>
                <a:ea typeface="+mn-ea"/>
                <a:cs typeface="Segoe UI Light" panose="020B0502040204020203" pitchFamily="34" charset="0"/>
              </a:rPr>
              <a:t>About refresh</a:t>
            </a:r>
            <a:r>
              <a:rPr lang="en-US" sz="1200" baseline="0">
                <a:solidFill>
                  <a:srgbClr val="217346"/>
                </a:solidFill>
                <a:effectLst/>
                <a:latin typeface="Segoe UI Light" panose="020B0502040204020203" pitchFamily="34" charset="0"/>
                <a:ea typeface="+mn-ea"/>
                <a:cs typeface="Segoe UI Light" panose="020B0502040204020203" pitchFamily="34" charset="0"/>
              </a:rPr>
              <a:t>
</a:t>
            </a:r>
            <a:r>
              <a:rPr lang="en-US" sz="1200" baseline="0">
                <a:solidFill>
                  <a:sysClr val="windowText" lastClr="000000"/>
                </a:solidFill>
                <a:effectLst/>
                <a:latin typeface="Segoe UI Light" panose="020B0502040204020203" pitchFamily="34" charset="0"/>
                <a:ea typeface="+mn-ea"/>
                <a:cs typeface="Segoe UI Light" panose="020B0502040204020203" pitchFamily="34" charset="0"/>
              </a:rPr>
              <a:t>Read this important article about how to refresh PivotTables. </a:t>
            </a:r>
            <a:endParaRPr lang="en-US" sz="1100" baseline="0">
              <a:solidFill>
                <a:sysClr val="windowText" lastClr="000000"/>
              </a:solidFill>
              <a:effectLst/>
              <a:latin typeface="Segoe UI" panose="020B0502040204020203" pitchFamily="34" charset="0"/>
              <a:ea typeface="+mn-ea"/>
              <a:cs typeface="Segoe UI" panose="020B0502040204020203" pitchFamily="34" charset="0"/>
            </a:endParaRPr>
          </a:p>
        </xdr:txBody>
      </xdr:sp>
      <xdr:sp macro="" textlink="">
        <xdr:nvSpPr>
          <xdr:cNvPr id="18" name="TextBox 17" descr="Learn more">
            <a:hlinkClick xmlns:r="http://schemas.openxmlformats.org/officeDocument/2006/relationships" r:id="rId5" tooltip="Select to learn more about refreshing PivotTables"/>
            <a:extLst>
              <a:ext uri="{FF2B5EF4-FFF2-40B4-BE49-F238E27FC236}">
                <a16:creationId xmlns:a16="http://schemas.microsoft.com/office/drawing/2014/main" xmlns="" id="{D5C76820-F0A8-4797-989E-E19891768845}"/>
              </a:ext>
            </a:extLst>
          </xdr:cNvPr>
          <xdr:cNvSpPr txBox="1"/>
        </xdr:nvSpPr>
        <xdr:spPr>
          <a:xfrm>
            <a:off x="3286124" y="3728515"/>
            <a:ext cx="1222244" cy="422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grpSp>
    <xdr:clientData/>
  </xdr:twoCellAnchor>
  <xdr:twoCellAnchor>
    <xdr:from>
      <xdr:col>1</xdr:col>
      <xdr:colOff>4249136</xdr:colOff>
      <xdr:row>12</xdr:row>
      <xdr:rowOff>41272</xdr:rowOff>
    </xdr:from>
    <xdr:to>
      <xdr:col>1</xdr:col>
      <xdr:colOff>6173184</xdr:colOff>
      <xdr:row>22</xdr:row>
      <xdr:rowOff>172865</xdr:rowOff>
    </xdr:to>
    <xdr:grpSp>
      <xdr:nvGrpSpPr>
        <xdr:cNvPr id="24" name="Group 23">
          <a:extLst>
            <a:ext uri="{FF2B5EF4-FFF2-40B4-BE49-F238E27FC236}">
              <a16:creationId xmlns:a16="http://schemas.microsoft.com/office/drawing/2014/main" xmlns="" id="{0A3DC34E-D2EA-4BB1-9E49-491BBD8C2034}"/>
            </a:ext>
          </a:extLst>
        </xdr:cNvPr>
        <xdr:cNvGrpSpPr/>
      </xdr:nvGrpSpPr>
      <xdr:grpSpPr>
        <a:xfrm>
          <a:off x="4839686" y="2212972"/>
          <a:ext cx="1924048" cy="1941343"/>
          <a:chOff x="4839686" y="2212972"/>
          <a:chExt cx="1924048" cy="1941343"/>
        </a:xfrm>
      </xdr:grpSpPr>
      <xdr:sp macro="" textlink="">
        <xdr:nvSpPr>
          <xdr:cNvPr id="11" name="TextBox 10" descr="LinkedIn Learning&#10;Video courses for all levels—from beginner to advanced. Take at your own pace.">
            <a:hlinkClick xmlns:r="http://schemas.openxmlformats.org/officeDocument/2006/relationships" r:id="rId8" tooltip="Select to learn more about LinkedIn Learning options online"/>
            <a:extLst>
              <a:ext uri="{FF2B5EF4-FFF2-40B4-BE49-F238E27FC236}">
                <a16:creationId xmlns:a16="http://schemas.microsoft.com/office/drawing/2014/main" xmlns="" id="{177790B4-F4B7-4CB0-A860-0B4378FECBA3}"/>
              </a:ext>
            </a:extLst>
          </xdr:cNvPr>
          <xdr:cNvSpPr txBox="1"/>
        </xdr:nvSpPr>
        <xdr:spPr>
          <a:xfrm>
            <a:off x="5392134" y="2212972"/>
            <a:ext cx="1371600" cy="1463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1" baseline="0">
                <a:solidFill>
                  <a:srgbClr val="217346"/>
                </a:solidFill>
                <a:effectLst/>
                <a:latin typeface="Segoe UI Light" panose="020B0502040204020203" pitchFamily="34" charset="0"/>
                <a:ea typeface="+mn-ea"/>
                <a:cs typeface="Segoe UI Light" panose="020B0502040204020203" pitchFamily="34" charset="0"/>
              </a:rPr>
              <a:t>LinkedIn Learning</a:t>
            </a:r>
            <a:r>
              <a:rPr lang="en-US" sz="1200" baseline="0">
                <a:solidFill>
                  <a:srgbClr val="217346"/>
                </a:solidFill>
                <a:effectLst/>
                <a:latin typeface="Segoe UI Light" panose="020B0502040204020203" pitchFamily="34" charset="0"/>
                <a:ea typeface="+mn-ea"/>
                <a:cs typeface="Segoe UI Light" panose="020B0502040204020203" pitchFamily="34" charset="0"/>
              </a:rPr>
              <a:t>
</a:t>
            </a:r>
            <a:r>
              <a:rPr lang="en-US" sz="1200" baseline="0">
                <a:solidFill>
                  <a:sysClr val="windowText" lastClr="000000"/>
                </a:solidFill>
                <a:effectLst/>
                <a:latin typeface="Segoe UI Light" panose="020B0502040204020203" pitchFamily="34" charset="0"/>
                <a:ea typeface="+mn-ea"/>
                <a:cs typeface="Segoe UI Light" panose="020B0502040204020203" pitchFamily="34" charset="0"/>
              </a:rPr>
              <a:t>Video courses for all levels—from beginner to advanced. Take at your own pace.</a:t>
            </a:r>
            <a:endParaRPr lang="en-US" sz="1100" baseline="0">
              <a:solidFill>
                <a:sysClr val="windowText" lastClr="000000"/>
              </a:solidFill>
              <a:effectLst/>
              <a:latin typeface="Segoe UI" panose="020B0502040204020203" pitchFamily="34" charset="0"/>
              <a:ea typeface="+mn-ea"/>
              <a:cs typeface="Segoe UI" panose="020B0502040204020203" pitchFamily="34" charset="0"/>
            </a:endParaRPr>
          </a:p>
        </xdr:txBody>
      </xdr:sp>
      <xdr:pic>
        <xdr:nvPicPr>
          <xdr:cNvPr id="12" name="Picture 11">
            <a:hlinkClick xmlns:r="http://schemas.openxmlformats.org/officeDocument/2006/relationships" r:id="rId8" tooltip="Select to learn more about LinkedIn Learning options online"/>
            <a:extLst>
              <a:ext uri="{FF2B5EF4-FFF2-40B4-BE49-F238E27FC236}">
                <a16:creationId xmlns:a16="http://schemas.microsoft.com/office/drawing/2014/main" xmlns="" id="{DA95A5B5-112D-41EE-B59F-C224B787058D}"/>
              </a:ext>
            </a:extLst>
          </xdr:cNvPr>
          <xdr:cNvPicPr>
            <a:picLocks noChangeAspect="1"/>
          </xdr:cNvPicPr>
        </xdr:nvPicPr>
        <xdr:blipFill rotWithShape="1">
          <a:blip xmlns:r="http://schemas.openxmlformats.org/officeDocument/2006/relationships" r:embed="rId9">
            <a:extLst>
              <a:ext uri="{28A0092B-C50C-407E-A947-70E740481C1C}">
                <a14:useLocalDpi xmlns:a14="http://schemas.microsoft.com/office/drawing/2010/main" val="0"/>
              </a:ext>
            </a:extLst>
          </a:blip>
          <a:srcRect/>
          <a:stretch/>
        </xdr:blipFill>
        <xdr:spPr>
          <a:xfrm>
            <a:off x="4839686" y="2305050"/>
            <a:ext cx="548213" cy="348370"/>
          </a:xfrm>
          <a:prstGeom prst="rect">
            <a:avLst/>
          </a:prstGeom>
        </xdr:spPr>
      </xdr:pic>
      <xdr:sp macro="" textlink="">
        <xdr:nvSpPr>
          <xdr:cNvPr id="19" name="TextBox 18" descr="Learn more">
            <a:hlinkClick xmlns:r="http://schemas.openxmlformats.org/officeDocument/2006/relationships" r:id="rId8" tooltip="Select to learn more about LinkedIn Learning options online"/>
            <a:extLst>
              <a:ext uri="{FF2B5EF4-FFF2-40B4-BE49-F238E27FC236}">
                <a16:creationId xmlns:a16="http://schemas.microsoft.com/office/drawing/2014/main" xmlns="" id="{AB7FC727-C3C8-4344-882E-90FDAF0758C2}"/>
              </a:ext>
            </a:extLst>
          </xdr:cNvPr>
          <xdr:cNvSpPr txBox="1"/>
        </xdr:nvSpPr>
        <xdr:spPr>
          <a:xfrm>
            <a:off x="5391149" y="3738040"/>
            <a:ext cx="1222244" cy="416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grpSp>
    <xdr:clientData/>
  </xdr:twoCellAnchor>
  <xdr:twoCellAnchor editAs="absolute">
    <xdr:from>
      <xdr:col>3</xdr:col>
      <xdr:colOff>28574</xdr:colOff>
      <xdr:row>20</xdr:row>
      <xdr:rowOff>109015</xdr:rowOff>
    </xdr:from>
    <xdr:to>
      <xdr:col>5</xdr:col>
      <xdr:colOff>69718</xdr:colOff>
      <xdr:row>22</xdr:row>
      <xdr:rowOff>169690</xdr:rowOff>
    </xdr:to>
    <xdr:sp macro="" textlink="">
      <xdr:nvSpPr>
        <xdr:cNvPr id="20" name="TextBox 19" descr="Learn more">
          <a:hlinkClick xmlns:r="http://schemas.openxmlformats.org/officeDocument/2006/relationships" r:id="rId2" tooltip="Select to connect with the Excel Tech Community"/>
          <a:extLst>
            <a:ext uri="{FF2B5EF4-FFF2-40B4-BE49-F238E27FC236}">
              <a16:creationId xmlns:a16="http://schemas.microsoft.com/office/drawing/2014/main" xmlns="" id="{A906CB9F-D84E-44A9-8F0E-E96C8C3B2BF4}"/>
            </a:ext>
          </a:extLst>
        </xdr:cNvPr>
        <xdr:cNvSpPr txBox="1"/>
      </xdr:nvSpPr>
      <xdr:spPr>
        <a:xfrm>
          <a:off x="7553324" y="3728515"/>
          <a:ext cx="1222244" cy="422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editAs="absolute">
    <xdr:from>
      <xdr:col>1</xdr:col>
      <xdr:colOff>6296025</xdr:colOff>
      <xdr:row>12</xdr:row>
      <xdr:rowOff>95250</xdr:rowOff>
    </xdr:from>
    <xdr:to>
      <xdr:col>3</xdr:col>
      <xdr:colOff>31035</xdr:colOff>
      <xdr:row>14</xdr:row>
      <xdr:rowOff>163068</xdr:rowOff>
    </xdr:to>
    <xdr:pic>
      <xdr:nvPicPr>
        <xdr:cNvPr id="21" name="Picture 20" descr="Community">
          <a:hlinkClick xmlns:r="http://schemas.openxmlformats.org/officeDocument/2006/relationships" r:id="rId2" tooltip="Select to connect with the Excel Tech Community"/>
          <a:extLst>
            <a:ext uri="{FF2B5EF4-FFF2-40B4-BE49-F238E27FC236}">
              <a16:creationId xmlns:a16="http://schemas.microsoft.com/office/drawing/2014/main" xmlns="" id="{60572BA1-BD2B-4F43-B3C9-B66E69C66FAC}"/>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6886575" y="2266950"/>
          <a:ext cx="669210" cy="429768"/>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Get%20more%20out%20of%20PivotTables(5).xlt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microsoft.com/office/2006/relationships/xlExternalLinkPath/xlPathMissing" Target="Get%20more%20out%20of%20PivotTables(5).xltx"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2" Type="http://schemas.microsoft.com/office/2006/relationships/xlExternalLinkPath/xlPathMissing" Target="Get%20more%20out%20of%20PivotTables(5).xltx" TargetMode="External"/><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2" Type="http://schemas.microsoft.com/office/2006/relationships/xlExternalLinkPath/xlPathMissing" Target="Get%20more%20out%20of%20PivotTables(5).xltx" TargetMode="External"/><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2" Type="http://schemas.microsoft.com/office/2006/relationships/xlExternalLinkPath/xlPathMissing" Target="Get%20more%20out%20of%20PivotTables(5).xltx" TargetMode="External"/><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2" Type="http://schemas.microsoft.com/office/2006/relationships/xlExternalLinkPath/xlPathMissing" Target="Get%20more%20out%20of%20PivotTables(5).xltx" TargetMode="External"/><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2" Type="http://schemas.microsoft.com/office/2006/relationships/xlExternalLinkPath/xlPathMissing" Target="Get%20more%20out%20of%20PivotTables(5).xltx" TargetMode="External"/><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2" Type="http://schemas.microsoft.com/office/2006/relationships/xlExternalLinkPath/xlPathMissing" Target="Get%20more%20out%20of%20PivotTables(5).xltx" TargetMode="External"/><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2" Type="http://schemas.microsoft.com/office/2006/relationships/xlExternalLinkPath/xlPathMissing" Target="Get%20more%20out%20of%20PivotTables(5).xltx" TargetMode="External"/><Relationship Id="rId1" Type="http://schemas.openxmlformats.org/officeDocument/2006/relationships/pivotCacheRecords" Target="pivotCacheRecords9.xml"/></Relationships>
</file>

<file path=xl/pivotCache/_rels/pivotCacheDefinition10.xml.rels><?xml version="1.0" encoding="UTF-8" standalone="yes"?>
<Relationships xmlns="http://schemas.openxmlformats.org/package/2006/relationships"><Relationship Id="rId2" Type="http://schemas.microsoft.com/office/2006/relationships/xlExternalLinkPath/xlPathMissing" Target="Get%20more%20out%20of%20PivotTables(5).xltx" TargetMode="External"/><Relationship Id="rId1" Type="http://schemas.openxmlformats.org/officeDocument/2006/relationships/pivotCacheRecords" Target="pivotCacheRecords10.xml"/></Relationships>
</file>

<file path=xl/pivotCache/_rels/pivotCacheDefinition11.xml.rels><?xml version="1.0" encoding="UTF-8" standalone="yes"?>
<Relationships xmlns="http://schemas.openxmlformats.org/package/2006/relationships"><Relationship Id="rId2" Type="http://schemas.microsoft.com/office/2006/relationships/xlExternalLinkPath/xlPathMissing" Target="Get%20more%20out%20of%20PivotTables(5).xltx" TargetMode="External"/><Relationship Id="rId1" Type="http://schemas.openxmlformats.org/officeDocument/2006/relationships/pivotCacheRecords" Target="pivotCacheRecords11.xml"/></Relationships>
</file>

<file path=xl/pivotCache/_rels/pivotCacheDefinition12.xml.rels><?xml version="1.0" encoding="UTF-8" standalone="yes"?>
<Relationships xmlns="http://schemas.openxmlformats.org/package/2006/relationships"><Relationship Id="rId2" Type="http://schemas.microsoft.com/office/2006/relationships/xlExternalLinkPath/xlPathMissing" Target="Get%20more%20out%20of%20PivotTables(5).xltx" TargetMode="External"/><Relationship Id="rId1" Type="http://schemas.openxmlformats.org/officeDocument/2006/relationships/pivotCacheRecords" Target="pivotCacheRecords12.xml"/></Relationships>
</file>

<file path=xl/pivotCache/_rels/pivotCacheDefinition13.xml.rels><?xml version="1.0" encoding="UTF-8" standalone="yes"?>
<Relationships xmlns="http://schemas.openxmlformats.org/package/2006/relationships"><Relationship Id="rId2" Type="http://schemas.microsoft.com/office/2006/relationships/xlExternalLinkPath/xlPathMissing" Target="Get%20more%20out%20of%20PivotTables(5).xltx" TargetMode="External"/><Relationship Id="rId1" Type="http://schemas.openxmlformats.org/officeDocument/2006/relationships/pivotCacheRecords" Target="pivotCacheRecords13.xml"/></Relationships>
</file>

<file path=xl/pivotCache/_rels/pivotCacheDefinition14.xml.rels><?xml version="1.0" encoding="UTF-8" standalone="yes"?>
<Relationships xmlns="http://schemas.openxmlformats.org/package/2006/relationships"><Relationship Id="rId2" Type="http://schemas.microsoft.com/office/2006/relationships/xlExternalLinkPath/xlPathMissing" Target="Get%20more%20out%20of%20PivotTables(5).xltx" TargetMode="External"/><Relationship Id="rId1" Type="http://schemas.openxmlformats.org/officeDocument/2006/relationships/pivotCacheRecords" Target="pivotCacheRecords14.xml"/></Relationships>
</file>

<file path=xl/pivotCache/_rels/pivotCacheDefinition15.xml.rels><?xml version="1.0" encoding="UTF-8" standalone="yes"?>
<Relationships xmlns="http://schemas.openxmlformats.org/package/2006/relationships"><Relationship Id="rId2" Type="http://schemas.microsoft.com/office/2006/relationships/xlExternalLinkPath/xlPathMissing" Target="Get%20more%20out%20of%20PivotTables(5).xltx" TargetMode="External"/><Relationship Id="rId1" Type="http://schemas.openxmlformats.org/officeDocument/2006/relationships/pivotCacheRecords" Target="pivotCacheRecords15.xml"/></Relationships>
</file>

<file path=xl/pivotCache/pivotCacheDefinition1.xml><?xml version="1.0" encoding="utf-8"?>
<pivotCacheDefinition xmlns="http://schemas.openxmlformats.org/spreadsheetml/2006/main" xmlns:r="http://schemas.openxmlformats.org/officeDocument/2006/relationships" r:id="rId1" refreshedBy="Author" refreshedDate="43250.612859837966" createdVersion="6" refreshedVersion="6" minRefreshableVersion="3" recordCount="8">
  <cacheSource type="worksheet">
    <worksheetSource name="tbl_6.1" r:id="rId2"/>
  </cacheSource>
  <cacheFields count="4">
    <cacheField name="Date" numFmtId="164">
      <sharedItems containsSemiMixedTypes="0" containsNonDate="0" containsDate="1" containsString="0" minDate="2017-01-01T00:00:00" maxDate="2017-02-26T00:00:00"/>
    </cacheField>
    <cacheField name="Buyer" numFmtId="0">
      <sharedItems count="3">
        <s v="Dad"/>
        <s v="Mom"/>
        <s v="Kelly"/>
      </sharedItems>
    </cacheField>
    <cacheField name="Type" numFmtId="0">
      <sharedItems count="5">
        <s v="Gifts"/>
        <s v="Food"/>
        <s v="Tickets"/>
        <s v="Music"/>
        <s v="Sports"/>
      </sharedItems>
    </cacheField>
    <cacheField name="Amount" numFmtId="0">
      <sharedItems containsSemiMixedTypes="0" containsString="0" containsNumber="1" containsInteger="1" minValue="20" maxValue="32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Author" refreshedDate="43250.617307986111" createdVersion="6" refreshedVersion="6" minRefreshableVersion="3" recordCount="8">
  <cacheSource type="worksheet">
    <worksheetSource name="tbl_4.116" r:id="rId2"/>
  </cacheSource>
  <cacheFields count="4">
    <cacheField name="Date" numFmtId="164">
      <sharedItems containsSemiMixedTypes="0" containsNonDate="0" containsDate="1" containsString="0" minDate="2017-01-01T00:00:00" maxDate="2017-02-26T00:00:00"/>
    </cacheField>
    <cacheField name="Buyer" numFmtId="0">
      <sharedItems count="3">
        <s v="Dad"/>
        <s v="Mom"/>
        <s v="Kelly"/>
      </sharedItems>
    </cacheField>
    <cacheField name="Type" numFmtId="0">
      <sharedItems count="5">
        <s v="Gifts"/>
        <s v="Food"/>
        <s v="Tickets"/>
        <s v="Music"/>
        <s v="Sports"/>
      </sharedItems>
    </cacheField>
    <cacheField name="Amount" numFmtId="0">
      <sharedItems containsSemiMixedTypes="0" containsString="0" containsNumber="1" containsInteger="1" minValue="20" maxValue="325"/>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r:id="rId1" refreshedBy="Author" refreshedDate="43250.619237500003" createdVersion="6" refreshedVersion="6" minRefreshableVersion="3" recordCount="8">
  <cacheSource type="worksheet">
    <worksheetSource name="tbl_7.1" r:id="rId2"/>
  </cacheSource>
  <cacheFields count="4">
    <cacheField name="Date" numFmtId="164">
      <sharedItems containsSemiMixedTypes="0" containsNonDate="0" containsDate="1" containsString="0" minDate="2017-01-01T00:00:00" maxDate="2017-02-26T00:00:00"/>
    </cacheField>
    <cacheField name="Buyer" numFmtId="0">
      <sharedItems count="3">
        <s v="Dad"/>
        <s v="Mom"/>
        <s v="Kelly"/>
      </sharedItems>
    </cacheField>
    <cacheField name="Type" numFmtId="0">
      <sharedItems count="5">
        <s v="Gifts"/>
        <s v="Food"/>
        <s v="Tickets"/>
        <s v="Music"/>
        <s v="Sports"/>
      </sharedItems>
    </cacheField>
    <cacheField name="Amount" numFmtId="0">
      <sharedItems containsSemiMixedTypes="0" containsString="0" containsNumber="1" containsInteger="1" minValue="20" maxValue="325"/>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r:id="rId1" refreshedBy="Author" refreshedDate="43250.629571180558" createdVersion="6" refreshedVersion="6" minRefreshableVersion="3" recordCount="21">
  <cacheSource type="worksheet">
    <worksheetSource name="tbl_10.1" r:id="rId2"/>
  </cacheSource>
  <cacheFields count="5">
    <cacheField name="Date" numFmtId="165">
      <sharedItems containsSemiMixedTypes="0" containsNonDate="0" containsDate="1" containsString="0" minDate="2017-01-01T00:00:00" maxDate="2017-02-26T00:00:00" count="7">
        <d v="2017-01-17T00:00:00"/>
        <d v="2017-02-20T00:00:00"/>
        <d v="2017-02-25T00:00:00"/>
        <d v="2017-01-21T00:00:00"/>
        <d v="2017-01-01T00:00:00"/>
        <d v="2017-01-15T00:00:00"/>
        <d v="2017-02-02T00:00:00"/>
      </sharedItems>
      <fieldGroup par="4" base="0">
        <rangePr groupBy="days" startDate="2017-01-01T00:00:00" endDate="2017-02-26T00:00:00"/>
        <groupItems count="368">
          <s v="&lt;1/1/2017"/>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2/26/2017"/>
        </groupItems>
      </fieldGroup>
    </cacheField>
    <cacheField name="Buyer" numFmtId="0">
      <sharedItems count="3">
        <s v="Dad"/>
        <s v="Kelly"/>
        <s v="Mom"/>
      </sharedItems>
    </cacheField>
    <cacheField name="Type" numFmtId="0">
      <sharedItems count="20">
        <s v="Sports"/>
        <s v="Airfare"/>
        <s v="Taxes"/>
        <s v="Music"/>
        <s v="Tickets"/>
        <s v="Books"/>
        <s v="Dining"/>
        <s v="Clothes"/>
        <s v="Music lessons"/>
        <s v="Parking"/>
        <s v="Electronics"/>
        <s v="Fuel"/>
        <s v="Food"/>
        <s v="Club dues"/>
        <s v="Medical"/>
        <s v="Electricity"/>
        <s v="Dental"/>
        <s v="Auto insurance"/>
        <s v="Health insurance"/>
        <s v="Home insurance"/>
      </sharedItems>
    </cacheField>
    <cacheField name="Amount" numFmtId="5">
      <sharedItems containsSemiMixedTypes="0" containsString="0" containsNumber="1" containsInteger="1" minValue="20" maxValue="1000"/>
    </cacheField>
    <cacheField name="Months" numFmtId="0" databaseField="0">
      <fieldGroup base="0">
        <rangePr groupBy="months" startDate="2017-01-01T00:00:00" endDate="2017-02-26T00:00:00"/>
        <groupItems count="14">
          <s v="&lt;1/1/2017"/>
          <s v="Jan"/>
          <s v="Feb"/>
          <s v="Mar"/>
          <s v="Apr"/>
          <s v="May"/>
          <s v="Jun"/>
          <s v="Jul"/>
          <s v="Aug"/>
          <s v="Sep"/>
          <s v="Oct"/>
          <s v="Nov"/>
          <s v="Dec"/>
          <s v="&gt;2/26/2017"/>
        </groupItems>
      </fieldGroup>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r:id="rId1" refreshedBy="Author" refreshedDate="43250.629784837962" createdVersion="6" refreshedVersion="6" minRefreshableVersion="3" recordCount="21">
  <cacheSource type="worksheet">
    <worksheetSource name="tbl_11.1" r:id="rId2"/>
  </cacheSource>
  <cacheFields count="5">
    <cacheField name="Date" numFmtId="165">
      <sharedItems containsSemiMixedTypes="0" containsNonDate="0" containsDate="1" containsString="0" minDate="2017-01-01T00:00:00" maxDate="2017-02-26T00:00:00" count="7">
        <d v="2017-01-17T00:00:00"/>
        <d v="2017-02-20T00:00:00"/>
        <d v="2017-02-25T00:00:00"/>
        <d v="2017-01-21T00:00:00"/>
        <d v="2017-01-01T00:00:00"/>
        <d v="2017-01-15T00:00:00"/>
        <d v="2017-02-02T00:00:00"/>
      </sharedItems>
      <fieldGroup par="4" base="0">
        <rangePr groupBy="days" startDate="2017-01-01T00:00:00" endDate="2017-02-26T00:00:00"/>
        <groupItems count="368">
          <s v="&lt;1/1/2017"/>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2/26/2017"/>
        </groupItems>
      </fieldGroup>
    </cacheField>
    <cacheField name="Buyer" numFmtId="0">
      <sharedItems count="3">
        <s v="Dad"/>
        <s v="Kelly"/>
        <s v="Mom"/>
      </sharedItems>
    </cacheField>
    <cacheField name="Type" numFmtId="0">
      <sharedItems count="20">
        <s v="Sports"/>
        <s v="Airfare"/>
        <s v="Taxes"/>
        <s v="Music"/>
        <s v="Tickets"/>
        <s v="Books"/>
        <s v="Dining"/>
        <s v="Clothes"/>
        <s v="Music lessons"/>
        <s v="Parking"/>
        <s v="Electronics"/>
        <s v="Fuel"/>
        <s v="Food"/>
        <s v="Club dues"/>
        <s v="Medical"/>
        <s v="Electricity"/>
        <s v="Dental"/>
        <s v="Auto insurance"/>
        <s v="Health insurance"/>
        <s v="Home insurance"/>
      </sharedItems>
    </cacheField>
    <cacheField name="Amount" numFmtId="5">
      <sharedItems containsSemiMixedTypes="0" containsString="0" containsNumber="1" containsInteger="1" minValue="20" maxValue="1000"/>
    </cacheField>
    <cacheField name="Months" numFmtId="0" databaseField="0">
      <fieldGroup base="0">
        <rangePr groupBy="months" startDate="2017-01-01T00:00:00" endDate="2017-02-26T00:00:00"/>
        <groupItems count="14">
          <s v="&lt;1/1/2017"/>
          <s v="Jan"/>
          <s v="Feb"/>
          <s v="Mar"/>
          <s v="Apr"/>
          <s v="May"/>
          <s v="Jun"/>
          <s v="Jul"/>
          <s v="Aug"/>
          <s v="Sep"/>
          <s v="Oct"/>
          <s v="Nov"/>
          <s v="Dec"/>
          <s v="&gt;2/26/2017"/>
        </groupItems>
      </fieldGroup>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r:id="rId1" refreshedBy="Author" refreshedDate="43250.629932986114" createdVersion="6" refreshedVersion="6" minRefreshableVersion="3" recordCount="21">
  <cacheSource type="worksheet">
    <worksheetSource name="tbl_13.1" r:id="rId2"/>
  </cacheSource>
  <cacheFields count="5">
    <cacheField name="Date" numFmtId="165">
      <sharedItems containsSemiMixedTypes="0" containsNonDate="0" containsDate="1" containsString="0" minDate="2017-01-01T00:00:00" maxDate="2017-02-26T00:00:00" count="7">
        <d v="2017-01-17T00:00:00"/>
        <d v="2017-02-20T00:00:00"/>
        <d v="2017-02-25T00:00:00"/>
        <d v="2017-01-21T00:00:00"/>
        <d v="2017-01-01T00:00:00"/>
        <d v="2017-01-15T00:00:00"/>
        <d v="2017-02-02T00:00:00"/>
      </sharedItems>
      <fieldGroup par="4" base="0">
        <rangePr groupBy="days" startDate="2017-01-01T00:00:00" endDate="2017-02-26T00:00:00"/>
        <groupItems count="368">
          <s v="&lt;1/1/2017"/>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2/26/2017"/>
        </groupItems>
      </fieldGroup>
    </cacheField>
    <cacheField name="Buyer" numFmtId="0">
      <sharedItems count="3">
        <s v="Dad"/>
        <s v="Kelly"/>
        <s v="Mom"/>
      </sharedItems>
    </cacheField>
    <cacheField name="Type" numFmtId="0">
      <sharedItems count="20">
        <s v="Sports"/>
        <s v="Airfare"/>
        <s v="Taxes"/>
        <s v="Music"/>
        <s v="Tickets"/>
        <s v="Books"/>
        <s v="Dining"/>
        <s v="Clothes"/>
        <s v="Music lessons"/>
        <s v="Parking"/>
        <s v="Electronics"/>
        <s v="Fuel"/>
        <s v="Food"/>
        <s v="Club dues"/>
        <s v="Medical"/>
        <s v="Electricity"/>
        <s v="Dental"/>
        <s v="Auto insurance"/>
        <s v="Health insurance"/>
        <s v="Home insurance"/>
      </sharedItems>
    </cacheField>
    <cacheField name="Amount" numFmtId="5">
      <sharedItems containsSemiMixedTypes="0" containsString="0" containsNumber="1" containsInteger="1" minValue="20" maxValue="1000"/>
    </cacheField>
    <cacheField name="Months" numFmtId="0" databaseField="0">
      <fieldGroup base="0">
        <rangePr groupBy="months" startDate="2017-01-01T00:00:00" endDate="2017-02-26T00:00:00"/>
        <groupItems count="14">
          <s v="&lt;1/1/2017"/>
          <s v="Jan"/>
          <s v="Feb"/>
          <s v="Mar"/>
          <s v="Apr"/>
          <s v="May"/>
          <s v="Jun"/>
          <s v="Jul"/>
          <s v="Aug"/>
          <s v="Sep"/>
          <s v="Oct"/>
          <s v="Nov"/>
          <s v="Dec"/>
          <s v="&gt;2/26/2017"/>
        </groupItems>
      </fieldGroup>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r:id="rId1" refreshedBy="Author" refreshedDate="43250.630130555553" createdVersion="6" refreshedVersion="6" minRefreshableVersion="3" recordCount="21">
  <cacheSource type="worksheet">
    <worksheetSource name="Expenses1281710" r:id="rId2"/>
  </cacheSource>
  <cacheFields count="4">
    <cacheField name="Date" numFmtId="165">
      <sharedItems containsSemiMixedTypes="0" containsNonDate="0" containsDate="1" containsString="0" minDate="2017-01-01T00:00:00" maxDate="2017-02-26T00:00:00"/>
    </cacheField>
    <cacheField name="Buyer" numFmtId="0">
      <sharedItems count="3">
        <s v="Dad"/>
        <s v="Kelly"/>
        <s v="Mom"/>
      </sharedItems>
    </cacheField>
    <cacheField name="Type" numFmtId="0">
      <sharedItems count="20">
        <s v="Sports"/>
        <s v="Airfare"/>
        <s v="Taxes"/>
        <s v="Music"/>
        <s v="Tickets"/>
        <s v="Books"/>
        <s v="Dining"/>
        <s v="Clothes"/>
        <s v="Music lessons"/>
        <s v="Parking"/>
        <s v="Electronics"/>
        <s v="Fuel"/>
        <s v="Food"/>
        <s v="Club dues"/>
        <s v="Medical"/>
        <s v="Electricity"/>
        <s v="Dental"/>
        <s v="Auto insurance"/>
        <s v="Health insurance"/>
        <s v="Home insurance"/>
      </sharedItems>
    </cacheField>
    <cacheField name="Amount" numFmtId="5">
      <sharedItems containsSemiMixedTypes="0" containsString="0" containsNumber="1" containsInteger="1" minValue="20" maxValue="1000"/>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r:id="rId1" refreshedBy="Author" refreshedDate="43250.6305130787" createdVersion="6" refreshedVersion="6" minRefreshableVersion="3" recordCount="21">
  <cacheSource type="worksheet">
    <worksheetSource name="tbl_15.1" r:id="rId2"/>
  </cacheSource>
  <cacheFields count="4">
    <cacheField name="Date" numFmtId="165">
      <sharedItems containsSemiMixedTypes="0" containsNonDate="0" containsDate="1" containsString="0" minDate="2017-01-01T00:00:00" maxDate="2017-02-26T00:00:00"/>
    </cacheField>
    <cacheField name="Buyer" numFmtId="0">
      <sharedItems count="3">
        <s v="Dad"/>
        <s v="Kelly"/>
        <s v="Mom"/>
      </sharedItems>
    </cacheField>
    <cacheField name="Type" numFmtId="0">
      <sharedItems count="20">
        <s v="Sports"/>
        <s v="Airfare"/>
        <s v="Taxes"/>
        <s v="Music"/>
        <s v="Tickets"/>
        <s v="Books"/>
        <s v="Dining"/>
        <s v="Clothes"/>
        <s v="Music lessons"/>
        <s v="Parking"/>
        <s v="Electronics"/>
        <s v="Fuel"/>
        <s v="Food"/>
        <s v="Club dues"/>
        <s v="Medical"/>
        <s v="Electricity"/>
        <s v="Dental"/>
        <s v="Auto insurance"/>
        <s v="Health insurance"/>
        <s v="Home insurance"/>
      </sharedItems>
    </cacheField>
    <cacheField name="Amount" numFmtId="5">
      <sharedItems containsSemiMixedTypes="0" containsString="0" containsNumber="1" containsInteger="1" minValue="20" maxValue="1000"/>
    </cacheField>
  </cacheFields>
  <extLst>
    <ext xmlns:x14="http://schemas.microsoft.com/office/spreadsheetml/2009/9/main" uri="{725AE2AE-9491-48be-B2B4-4EB974FC3084}">
      <x14:pivotCacheDefinition/>
    </ext>
  </extLst>
</pivotCacheDefinition>
</file>

<file path=xl/pivotCache/pivotCacheDefinition9.xml><?xml version="1.0" encoding="utf-8"?>
<pivotCacheDefinition xmlns="http://schemas.openxmlformats.org/spreadsheetml/2006/main" xmlns:r="http://schemas.openxmlformats.org/officeDocument/2006/relationships" r:id="rId1" refreshedBy="Author" refreshedDate="43250.630732175923" createdVersion="6" refreshedVersion="6" minRefreshableVersion="3" recordCount="12">
  <cacheSource type="worksheet">
    <worksheetSource name="tbl_16.1" r:id="rId2"/>
  </cacheSource>
  <cacheFields count="4">
    <cacheField name="Month" numFmtId="0">
      <sharedItems count="4">
        <s v="Jan"/>
        <s v="Feb"/>
        <s v="Mar"/>
        <s v="Apr"/>
      </sharedItems>
    </cacheField>
    <cacheField name="Buyer" numFmtId="0">
      <sharedItems count="3">
        <s v="Kelly"/>
        <s v="Dad"/>
        <s v="Mom"/>
      </sharedItems>
    </cacheField>
    <cacheField name="Type" numFmtId="0">
      <sharedItems count="2">
        <s v="Food"/>
        <s v="Utilities"/>
      </sharedItems>
    </cacheField>
    <cacheField name="Amount" numFmtId="6">
      <sharedItems containsSemiMixedTypes="0" containsString="0" containsNumber="1" containsInteger="1" minValue="20" maxValue="1000"/>
    </cacheField>
  </cacheFields>
  <extLst>
    <ext xmlns:x14="http://schemas.microsoft.com/office/spreadsheetml/2009/9/main" uri="{725AE2AE-9491-48be-B2B4-4EB974FC3084}">
      <x14:pivotCacheDefinition/>
    </ext>
  </extLst>
</pivotCacheDefinition>
</file>

<file path=xl/pivotCache/pivotCacheDefinition10.xml><?xml version="1.0" encoding="utf-8"?>
<pivotCacheDefinition xmlns="http://schemas.openxmlformats.org/spreadsheetml/2006/main" xmlns:r="http://schemas.openxmlformats.org/officeDocument/2006/relationships" r:id="rId1" refreshedBy="Author" refreshedDate="43250.63331921296" createdVersion="6" refreshedVersion="6" minRefreshableVersion="3" recordCount="48">
  <cacheSource type="worksheet">
    <worksheetSource name="tbl_17.1" r:id="rId2"/>
  </cacheSource>
  <cacheFields count="4">
    <cacheField name="Buyer" numFmtId="0">
      <sharedItems count="2">
        <s v="Dad"/>
        <s v="Mom"/>
      </sharedItems>
    </cacheField>
    <cacheField name="Season" numFmtId="0">
      <sharedItems count="4">
        <s v="Winter"/>
        <s v="Spring"/>
        <s v="Summer"/>
        <s v="Fall"/>
      </sharedItems>
    </cacheField>
    <cacheField name="Type" numFmtId="0">
      <sharedItems count="3">
        <s v="Insurance"/>
        <s v="Rent"/>
        <s v="Utilities"/>
      </sharedItems>
    </cacheField>
    <cacheField name="Amount" numFmtId="0">
      <sharedItems containsSemiMixedTypes="0" containsString="0" containsNumber="1" containsInteger="1" minValue="30" maxValue="2000"/>
    </cacheField>
  </cacheFields>
  <extLst>
    <ext xmlns:x14="http://schemas.microsoft.com/office/spreadsheetml/2009/9/main" uri="{725AE2AE-9491-48be-B2B4-4EB974FC3084}">
      <x14:pivotCacheDefinition/>
    </ext>
  </extLst>
</pivotCacheDefinition>
</file>

<file path=xl/pivotCache/pivotCacheDefinition11.xml><?xml version="1.0" encoding="utf-8"?>
<pivotCacheDefinition xmlns="http://schemas.openxmlformats.org/spreadsheetml/2006/main" xmlns:r="http://schemas.openxmlformats.org/officeDocument/2006/relationships" r:id="rId1" refreshedBy="Author" refreshedDate="43250.633570138889" createdVersion="6" refreshedVersion="6" minRefreshableVersion="3" recordCount="48">
  <cacheSource type="worksheet">
    <worksheetSource name="tbl_18.1" r:id="rId2"/>
  </cacheSource>
  <cacheFields count="4">
    <cacheField name="Season" numFmtId="0">
      <sharedItems count="4">
        <s v="Winter"/>
        <s v="Spring"/>
        <s v="Summer"/>
        <s v="Fall"/>
      </sharedItems>
    </cacheField>
    <cacheField name="Sales rep" numFmtId="0">
      <sharedItems count="3">
        <s v="Jenny"/>
        <s v="George"/>
        <s v="Dave"/>
      </sharedItems>
    </cacheField>
    <cacheField name="Product" numFmtId="0">
      <sharedItems count="14">
        <s v="Oranges"/>
        <s v="Grapefruit"/>
        <s v="Apples"/>
        <s v="Bananas"/>
        <s v="Beets"/>
        <s v="Potatoes"/>
        <s v="Lettuce"/>
        <s v="Radishes"/>
        <s v="Blueberries"/>
        <s v="Strawberries"/>
        <s v="Grapes"/>
        <s v="Pumpkins"/>
        <s v="Squash"/>
        <s v="Zucchini"/>
      </sharedItems>
    </cacheField>
    <cacheField name="Units sold" numFmtId="0">
      <sharedItems containsSemiMixedTypes="0" containsString="0" containsNumber="1" containsInteger="1" minValue="30" maxValue="2000"/>
    </cacheField>
  </cacheFields>
  <extLst>
    <ext xmlns:x14="http://schemas.microsoft.com/office/spreadsheetml/2009/9/main" uri="{725AE2AE-9491-48be-B2B4-4EB974FC3084}">
      <x14:pivotCacheDefinition/>
    </ext>
  </extLst>
</pivotCacheDefinition>
</file>

<file path=xl/pivotCache/pivotCacheDefinition12.xml><?xml version="1.0" encoding="utf-8"?>
<pivotCacheDefinition xmlns="http://schemas.openxmlformats.org/spreadsheetml/2006/main" xmlns:r="http://schemas.openxmlformats.org/officeDocument/2006/relationships" r:id="rId1" refreshedBy="Author" refreshedDate="43250.638891087961" createdVersion="6" refreshedVersion="6" minRefreshableVersion="3" recordCount="8">
  <cacheSource type="worksheet">
    <worksheetSource name="tbl_1.1" r:id="rId2"/>
  </cacheSource>
  <cacheFields count="4">
    <cacheField name="Date" numFmtId="164">
      <sharedItems containsSemiMixedTypes="0" containsNonDate="0" containsDate="1" containsString="0" minDate="2017-01-01T00:00:00" maxDate="2017-02-26T00:00:00"/>
    </cacheField>
    <cacheField name="Buyer" numFmtId="0">
      <sharedItems count="3">
        <s v="Dad"/>
        <s v="Mom"/>
        <s v="Kelly"/>
      </sharedItems>
    </cacheField>
    <cacheField name="Type" numFmtId="0">
      <sharedItems/>
    </cacheField>
    <cacheField name="Amount" numFmtId="5">
      <sharedItems containsSemiMixedTypes="0" containsString="0" containsNumber="1" containsInteger="1" minValue="20" maxValue="325"/>
    </cacheField>
  </cacheFields>
  <extLst>
    <ext xmlns:x14="http://schemas.microsoft.com/office/spreadsheetml/2009/9/main" uri="{725AE2AE-9491-48be-B2B4-4EB974FC3084}">
      <x14:pivotCacheDefinition/>
    </ext>
  </extLst>
</pivotCacheDefinition>
</file>

<file path=xl/pivotCache/pivotCacheDefinition13.xml><?xml version="1.0" encoding="utf-8"?>
<pivotCacheDefinition xmlns="http://schemas.openxmlformats.org/spreadsheetml/2006/main" xmlns:r="http://schemas.openxmlformats.org/officeDocument/2006/relationships" r:id="rId1" refreshedBy="Author" refreshedDate="43250.639044675925" createdVersion="6" refreshedVersion="6" minRefreshableVersion="3" recordCount="8">
  <cacheSource type="worksheet">
    <worksheetSource name="tbl_2.1" r:id="rId2"/>
  </cacheSource>
  <cacheFields count="4">
    <cacheField name="Date" numFmtId="164">
      <sharedItems containsSemiMixedTypes="0" containsNonDate="0" containsDate="1" containsString="0" minDate="2017-01-01T00:00:00" maxDate="2017-02-26T00:00:00"/>
    </cacheField>
    <cacheField name="Buyer" numFmtId="0">
      <sharedItems count="3">
        <s v="Dad"/>
        <s v="Mom"/>
        <s v="Kelly"/>
      </sharedItems>
    </cacheField>
    <cacheField name="Type" numFmtId="0">
      <sharedItems/>
    </cacheField>
    <cacheField name="Amount" numFmtId="5">
      <sharedItems containsSemiMixedTypes="0" containsString="0" containsNumber="1" containsInteger="1" minValue="20" maxValue="325"/>
    </cacheField>
  </cacheFields>
  <extLst>
    <ext xmlns:x14="http://schemas.microsoft.com/office/spreadsheetml/2009/9/main" uri="{725AE2AE-9491-48be-B2B4-4EB974FC3084}">
      <x14:pivotCacheDefinition/>
    </ext>
  </extLst>
</pivotCacheDefinition>
</file>

<file path=xl/pivotCache/pivotCacheDefinition14.xml><?xml version="1.0" encoding="utf-8"?>
<pivotCacheDefinition xmlns="http://schemas.openxmlformats.org/spreadsheetml/2006/main" xmlns:r="http://schemas.openxmlformats.org/officeDocument/2006/relationships" r:id="rId1" refreshedBy="Author" refreshedDate="43250.63915185185" createdVersion="6" refreshedVersion="6" minRefreshableVersion="3" recordCount="8">
  <cacheSource type="worksheet">
    <worksheetSource name="tbl_3.1" r:id="rId2"/>
  </cacheSource>
  <cacheFields count="4">
    <cacheField name="Date" numFmtId="164">
      <sharedItems containsSemiMixedTypes="0" containsNonDate="0" containsDate="1" containsString="0" minDate="2017-01-01T00:00:00" maxDate="2017-02-26T00:00:00"/>
    </cacheField>
    <cacheField name="Buyer" numFmtId="0">
      <sharedItems count="3">
        <s v="Dad"/>
        <s v="Mom"/>
        <s v="Kelly"/>
      </sharedItems>
    </cacheField>
    <cacheField name="Type" numFmtId="0">
      <sharedItems/>
    </cacheField>
    <cacheField name="Amount" numFmtId="5">
      <sharedItems containsSemiMixedTypes="0" containsString="0" containsNumber="1" containsInteger="1" minValue="20" maxValue="325"/>
    </cacheField>
  </cacheFields>
  <extLst>
    <ext xmlns:x14="http://schemas.microsoft.com/office/spreadsheetml/2009/9/main" uri="{725AE2AE-9491-48be-B2B4-4EB974FC3084}">
      <x14:pivotCacheDefinition/>
    </ext>
  </extLst>
</pivotCacheDefinition>
</file>

<file path=xl/pivotCache/pivotCacheDefinition15.xml><?xml version="1.0" encoding="utf-8"?>
<pivotCacheDefinition xmlns="http://schemas.openxmlformats.org/spreadsheetml/2006/main" xmlns:r="http://schemas.openxmlformats.org/officeDocument/2006/relationships" r:id="rId1" refreshedBy="Author" refreshedDate="43250.639266550927" createdVersion="6" refreshedVersion="6" minRefreshableVersion="3" recordCount="8">
  <cacheSource type="worksheet">
    <worksheetSource name="tbl_4.1" r:id="rId2"/>
  </cacheSource>
  <cacheFields count="4">
    <cacheField name="Date" numFmtId="164">
      <sharedItems containsSemiMixedTypes="0" containsNonDate="0" containsDate="1" containsString="0" minDate="2017-01-01T00:00:00" maxDate="2017-02-26T00:00:00"/>
    </cacheField>
    <cacheField name="Buyer" numFmtId="0">
      <sharedItems count="3">
        <s v="Dad"/>
        <s v="Mom"/>
        <s v="Kelly"/>
      </sharedItems>
    </cacheField>
    <cacheField name="Type" numFmtId="0">
      <sharedItems count="6">
        <s v="Gifts"/>
        <s v="Food"/>
        <s v="Tickets"/>
        <s v="Music"/>
        <s v="Sports"/>
        <s v="Gift" u="1"/>
      </sharedItems>
    </cacheField>
    <cacheField name="Amount" numFmtId="5">
      <sharedItems containsSemiMixedTypes="0" containsString="0" containsNumber="1" containsInteger="1" minValue="20" maxValue="32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d v="2017-01-01T00:00:00"/>
    <x v="0"/>
    <x v="0"/>
    <n v="95"/>
  </r>
  <r>
    <d v="2017-01-15T00:00:00"/>
    <x v="1"/>
    <x v="1"/>
    <n v="325"/>
  </r>
  <r>
    <d v="2017-01-17T00:00:00"/>
    <x v="1"/>
    <x v="2"/>
    <n v="250"/>
  </r>
  <r>
    <d v="2017-01-21T00:00:00"/>
    <x v="0"/>
    <x v="1"/>
    <n v="125"/>
  </r>
  <r>
    <d v="2017-02-02T00:00:00"/>
    <x v="1"/>
    <x v="1"/>
    <n v="235"/>
  </r>
  <r>
    <d v="2017-02-20T00:00:00"/>
    <x v="2"/>
    <x v="3"/>
    <n v="20"/>
  </r>
  <r>
    <d v="2017-02-25T00:00:00"/>
    <x v="2"/>
    <x v="2"/>
    <n v="125"/>
  </r>
  <r>
    <d v="2017-02-25T00:00:00"/>
    <x v="2"/>
    <x v="4"/>
    <n v="12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d v="2017-01-01T00:00:00"/>
    <x v="0"/>
    <x v="0"/>
    <n v="95"/>
  </r>
  <r>
    <d v="2017-01-15T00:00:00"/>
    <x v="1"/>
    <x v="1"/>
    <n v="325"/>
  </r>
  <r>
    <d v="2017-01-17T00:00:00"/>
    <x v="1"/>
    <x v="2"/>
    <n v="250"/>
  </r>
  <r>
    <d v="2017-01-21T00:00:00"/>
    <x v="0"/>
    <x v="1"/>
    <n v="125"/>
  </r>
  <r>
    <d v="2017-02-02T00:00:00"/>
    <x v="1"/>
    <x v="1"/>
    <n v="235"/>
  </r>
  <r>
    <d v="2017-02-20T00:00:00"/>
    <x v="2"/>
    <x v="3"/>
    <n v="20"/>
  </r>
  <r>
    <d v="2017-02-25T00:00:00"/>
    <x v="2"/>
    <x v="2"/>
    <n v="125"/>
  </r>
  <r>
    <d v="2017-02-25T00:00:00"/>
    <x v="2"/>
    <x v="4"/>
    <n v="12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d v="2017-01-01T00:00:00"/>
    <x v="0"/>
    <x v="0"/>
    <n v="95"/>
  </r>
  <r>
    <d v="2017-01-15T00:00:00"/>
    <x v="1"/>
    <x v="1"/>
    <n v="325"/>
  </r>
  <r>
    <d v="2017-01-17T00:00:00"/>
    <x v="1"/>
    <x v="2"/>
    <n v="250"/>
  </r>
  <r>
    <d v="2017-01-21T00:00:00"/>
    <x v="0"/>
    <x v="1"/>
    <n v="125"/>
  </r>
  <r>
    <d v="2017-02-02T00:00:00"/>
    <x v="1"/>
    <x v="1"/>
    <n v="235"/>
  </r>
  <r>
    <d v="2017-02-20T00:00:00"/>
    <x v="2"/>
    <x v="3"/>
    <n v="20"/>
  </r>
  <r>
    <d v="2017-02-25T00:00:00"/>
    <x v="2"/>
    <x v="2"/>
    <n v="125"/>
  </r>
  <r>
    <d v="2017-02-25T00:00:00"/>
    <x v="2"/>
    <x v="4"/>
    <n v="125"/>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
  <r>
    <x v="0"/>
    <x v="0"/>
    <x v="0"/>
    <n v="1000"/>
  </r>
  <r>
    <x v="0"/>
    <x v="0"/>
    <x v="1"/>
    <n v="500"/>
  </r>
  <r>
    <x v="0"/>
    <x v="0"/>
    <x v="2"/>
    <n v="500"/>
  </r>
  <r>
    <x v="1"/>
    <x v="1"/>
    <x v="3"/>
    <n v="20"/>
  </r>
  <r>
    <x v="2"/>
    <x v="1"/>
    <x v="4"/>
    <n v="125"/>
  </r>
  <r>
    <x v="3"/>
    <x v="1"/>
    <x v="5"/>
    <n v="250"/>
  </r>
  <r>
    <x v="1"/>
    <x v="1"/>
    <x v="6"/>
    <n v="20"/>
  </r>
  <r>
    <x v="2"/>
    <x v="1"/>
    <x v="7"/>
    <n v="125"/>
  </r>
  <r>
    <x v="3"/>
    <x v="1"/>
    <x v="8"/>
    <n v="250"/>
  </r>
  <r>
    <x v="1"/>
    <x v="1"/>
    <x v="9"/>
    <n v="20"/>
  </r>
  <r>
    <x v="2"/>
    <x v="1"/>
    <x v="10"/>
    <n v="125"/>
  </r>
  <r>
    <x v="4"/>
    <x v="2"/>
    <x v="11"/>
    <n v="74"/>
  </r>
  <r>
    <x v="5"/>
    <x v="2"/>
    <x v="12"/>
    <n v="235"/>
  </r>
  <r>
    <x v="3"/>
    <x v="2"/>
    <x v="13"/>
    <n v="125"/>
  </r>
  <r>
    <x v="6"/>
    <x v="2"/>
    <x v="12"/>
    <n v="235"/>
  </r>
  <r>
    <x v="4"/>
    <x v="2"/>
    <x v="14"/>
    <n v="74"/>
  </r>
  <r>
    <x v="5"/>
    <x v="2"/>
    <x v="15"/>
    <n v="70"/>
  </r>
  <r>
    <x v="6"/>
    <x v="2"/>
    <x v="16"/>
    <n v="235"/>
  </r>
  <r>
    <x v="4"/>
    <x v="2"/>
    <x v="17"/>
    <n v="74"/>
  </r>
  <r>
    <x v="5"/>
    <x v="2"/>
    <x v="18"/>
    <n v="70"/>
  </r>
  <r>
    <x v="6"/>
    <x v="2"/>
    <x v="19"/>
    <n v="235"/>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
  <r>
    <x v="0"/>
    <x v="0"/>
    <x v="0"/>
    <n v="1000"/>
  </r>
  <r>
    <x v="0"/>
    <x v="0"/>
    <x v="1"/>
    <n v="500"/>
  </r>
  <r>
    <x v="0"/>
    <x v="0"/>
    <x v="2"/>
    <n v="500"/>
  </r>
  <r>
    <x v="1"/>
    <x v="1"/>
    <x v="3"/>
    <n v="20"/>
  </r>
  <r>
    <x v="2"/>
    <x v="1"/>
    <x v="4"/>
    <n v="125"/>
  </r>
  <r>
    <x v="3"/>
    <x v="1"/>
    <x v="5"/>
    <n v="250"/>
  </r>
  <r>
    <x v="1"/>
    <x v="1"/>
    <x v="6"/>
    <n v="20"/>
  </r>
  <r>
    <x v="2"/>
    <x v="1"/>
    <x v="7"/>
    <n v="125"/>
  </r>
  <r>
    <x v="3"/>
    <x v="1"/>
    <x v="8"/>
    <n v="250"/>
  </r>
  <r>
    <x v="1"/>
    <x v="1"/>
    <x v="9"/>
    <n v="20"/>
  </r>
  <r>
    <x v="2"/>
    <x v="1"/>
    <x v="10"/>
    <n v="125"/>
  </r>
  <r>
    <x v="4"/>
    <x v="2"/>
    <x v="11"/>
    <n v="74"/>
  </r>
  <r>
    <x v="5"/>
    <x v="2"/>
    <x v="12"/>
    <n v="235"/>
  </r>
  <r>
    <x v="3"/>
    <x v="2"/>
    <x v="13"/>
    <n v="125"/>
  </r>
  <r>
    <x v="6"/>
    <x v="2"/>
    <x v="12"/>
    <n v="235"/>
  </r>
  <r>
    <x v="4"/>
    <x v="2"/>
    <x v="14"/>
    <n v="74"/>
  </r>
  <r>
    <x v="5"/>
    <x v="2"/>
    <x v="15"/>
    <n v="70"/>
  </r>
  <r>
    <x v="6"/>
    <x v="2"/>
    <x v="16"/>
    <n v="235"/>
  </r>
  <r>
    <x v="4"/>
    <x v="2"/>
    <x v="17"/>
    <n v="74"/>
  </r>
  <r>
    <x v="5"/>
    <x v="2"/>
    <x v="18"/>
    <n v="70"/>
  </r>
  <r>
    <x v="6"/>
    <x v="2"/>
    <x v="19"/>
    <n v="235"/>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
  <r>
    <x v="0"/>
    <x v="0"/>
    <x v="0"/>
    <n v="1000"/>
  </r>
  <r>
    <x v="0"/>
    <x v="0"/>
    <x v="1"/>
    <n v="500"/>
  </r>
  <r>
    <x v="0"/>
    <x v="0"/>
    <x v="2"/>
    <n v="500"/>
  </r>
  <r>
    <x v="1"/>
    <x v="1"/>
    <x v="3"/>
    <n v="20"/>
  </r>
  <r>
    <x v="2"/>
    <x v="1"/>
    <x v="4"/>
    <n v="125"/>
  </r>
  <r>
    <x v="3"/>
    <x v="1"/>
    <x v="5"/>
    <n v="250"/>
  </r>
  <r>
    <x v="1"/>
    <x v="1"/>
    <x v="6"/>
    <n v="20"/>
  </r>
  <r>
    <x v="2"/>
    <x v="1"/>
    <x v="7"/>
    <n v="125"/>
  </r>
  <r>
    <x v="3"/>
    <x v="1"/>
    <x v="8"/>
    <n v="250"/>
  </r>
  <r>
    <x v="1"/>
    <x v="1"/>
    <x v="9"/>
    <n v="20"/>
  </r>
  <r>
    <x v="2"/>
    <x v="1"/>
    <x v="10"/>
    <n v="125"/>
  </r>
  <r>
    <x v="4"/>
    <x v="2"/>
    <x v="11"/>
    <n v="74"/>
  </r>
  <r>
    <x v="5"/>
    <x v="2"/>
    <x v="12"/>
    <n v="235"/>
  </r>
  <r>
    <x v="3"/>
    <x v="2"/>
    <x v="13"/>
    <n v="125"/>
  </r>
  <r>
    <x v="6"/>
    <x v="2"/>
    <x v="12"/>
    <n v="235"/>
  </r>
  <r>
    <x v="4"/>
    <x v="2"/>
    <x v="14"/>
    <n v="74"/>
  </r>
  <r>
    <x v="5"/>
    <x v="2"/>
    <x v="15"/>
    <n v="70"/>
  </r>
  <r>
    <x v="6"/>
    <x v="2"/>
    <x v="16"/>
    <n v="235"/>
  </r>
  <r>
    <x v="4"/>
    <x v="2"/>
    <x v="17"/>
    <n v="74"/>
  </r>
  <r>
    <x v="5"/>
    <x v="2"/>
    <x v="18"/>
    <n v="70"/>
  </r>
  <r>
    <x v="6"/>
    <x v="2"/>
    <x v="19"/>
    <n v="235"/>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
  <r>
    <d v="2017-01-17T00:00:00"/>
    <x v="0"/>
    <x v="0"/>
    <n v="1000"/>
  </r>
  <r>
    <d v="2017-01-17T00:00:00"/>
    <x v="0"/>
    <x v="1"/>
    <n v="500"/>
  </r>
  <r>
    <d v="2017-01-17T00:00:00"/>
    <x v="0"/>
    <x v="2"/>
    <n v="500"/>
  </r>
  <r>
    <d v="2017-02-20T00:00:00"/>
    <x v="1"/>
    <x v="3"/>
    <n v="20"/>
  </r>
  <r>
    <d v="2017-02-25T00:00:00"/>
    <x v="1"/>
    <x v="4"/>
    <n v="125"/>
  </r>
  <r>
    <d v="2017-01-21T00:00:00"/>
    <x v="1"/>
    <x v="5"/>
    <n v="250"/>
  </r>
  <r>
    <d v="2017-02-20T00:00:00"/>
    <x v="1"/>
    <x v="6"/>
    <n v="20"/>
  </r>
  <r>
    <d v="2017-02-25T00:00:00"/>
    <x v="1"/>
    <x v="7"/>
    <n v="125"/>
  </r>
  <r>
    <d v="2017-01-21T00:00:00"/>
    <x v="1"/>
    <x v="8"/>
    <n v="250"/>
  </r>
  <r>
    <d v="2017-02-20T00:00:00"/>
    <x v="1"/>
    <x v="9"/>
    <n v="20"/>
  </r>
  <r>
    <d v="2017-02-25T00:00:00"/>
    <x v="1"/>
    <x v="10"/>
    <n v="125"/>
  </r>
  <r>
    <d v="2017-01-01T00:00:00"/>
    <x v="2"/>
    <x v="11"/>
    <n v="74"/>
  </r>
  <r>
    <d v="2017-01-15T00:00:00"/>
    <x v="2"/>
    <x v="12"/>
    <n v="235"/>
  </r>
  <r>
    <d v="2017-01-21T00:00:00"/>
    <x v="2"/>
    <x v="13"/>
    <n v="125"/>
  </r>
  <r>
    <d v="2017-02-02T00:00:00"/>
    <x v="2"/>
    <x v="12"/>
    <n v="235"/>
  </r>
  <r>
    <d v="2017-01-01T00:00:00"/>
    <x v="2"/>
    <x v="14"/>
    <n v="74"/>
  </r>
  <r>
    <d v="2017-01-15T00:00:00"/>
    <x v="2"/>
    <x v="15"/>
    <n v="70"/>
  </r>
  <r>
    <d v="2017-02-02T00:00:00"/>
    <x v="2"/>
    <x v="16"/>
    <n v="235"/>
  </r>
  <r>
    <d v="2017-01-01T00:00:00"/>
    <x v="2"/>
    <x v="17"/>
    <n v="74"/>
  </r>
  <r>
    <d v="2017-01-15T00:00:00"/>
    <x v="2"/>
    <x v="18"/>
    <n v="70"/>
  </r>
  <r>
    <d v="2017-02-02T00:00:00"/>
    <x v="2"/>
    <x v="19"/>
    <n v="235"/>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
  <r>
    <d v="2017-01-17T00:00:00"/>
    <x v="0"/>
    <x v="0"/>
    <n v="1000"/>
  </r>
  <r>
    <d v="2017-01-17T00:00:00"/>
    <x v="0"/>
    <x v="1"/>
    <n v="500"/>
  </r>
  <r>
    <d v="2017-01-17T00:00:00"/>
    <x v="0"/>
    <x v="2"/>
    <n v="500"/>
  </r>
  <r>
    <d v="2017-02-20T00:00:00"/>
    <x v="1"/>
    <x v="3"/>
    <n v="20"/>
  </r>
  <r>
    <d v="2017-02-25T00:00:00"/>
    <x v="1"/>
    <x v="4"/>
    <n v="125"/>
  </r>
  <r>
    <d v="2017-01-21T00:00:00"/>
    <x v="1"/>
    <x v="5"/>
    <n v="250"/>
  </r>
  <r>
    <d v="2017-02-20T00:00:00"/>
    <x v="1"/>
    <x v="6"/>
    <n v="20"/>
  </r>
  <r>
    <d v="2017-02-25T00:00:00"/>
    <x v="1"/>
    <x v="7"/>
    <n v="125"/>
  </r>
  <r>
    <d v="2017-01-21T00:00:00"/>
    <x v="1"/>
    <x v="8"/>
    <n v="250"/>
  </r>
  <r>
    <d v="2017-02-20T00:00:00"/>
    <x v="1"/>
    <x v="9"/>
    <n v="20"/>
  </r>
  <r>
    <d v="2017-02-25T00:00:00"/>
    <x v="1"/>
    <x v="10"/>
    <n v="125"/>
  </r>
  <r>
    <d v="2017-01-01T00:00:00"/>
    <x v="2"/>
    <x v="11"/>
    <n v="74"/>
  </r>
  <r>
    <d v="2017-01-15T00:00:00"/>
    <x v="2"/>
    <x v="12"/>
    <n v="235"/>
  </r>
  <r>
    <d v="2017-01-21T00:00:00"/>
    <x v="2"/>
    <x v="13"/>
    <n v="125"/>
  </r>
  <r>
    <d v="2017-02-02T00:00:00"/>
    <x v="2"/>
    <x v="12"/>
    <n v="235"/>
  </r>
  <r>
    <d v="2017-01-01T00:00:00"/>
    <x v="2"/>
    <x v="14"/>
    <n v="74"/>
  </r>
  <r>
    <d v="2017-01-15T00:00:00"/>
    <x v="2"/>
    <x v="15"/>
    <n v="70"/>
  </r>
  <r>
    <d v="2017-02-02T00:00:00"/>
    <x v="2"/>
    <x v="16"/>
    <n v="235"/>
  </r>
  <r>
    <d v="2017-01-01T00:00:00"/>
    <x v="2"/>
    <x v="17"/>
    <n v="74"/>
  </r>
  <r>
    <d v="2017-01-15T00:00:00"/>
    <x v="2"/>
    <x v="18"/>
    <n v="70"/>
  </r>
  <r>
    <d v="2017-02-02T00:00:00"/>
    <x v="2"/>
    <x v="19"/>
    <n v="235"/>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x v="0"/>
    <x v="0"/>
    <x v="0"/>
    <n v="74"/>
  </r>
  <r>
    <x v="0"/>
    <x v="1"/>
    <x v="0"/>
    <n v="235"/>
  </r>
  <r>
    <x v="0"/>
    <x v="2"/>
    <x v="1"/>
    <n v="1000"/>
  </r>
  <r>
    <x v="1"/>
    <x v="0"/>
    <x v="0"/>
    <n v="74"/>
  </r>
  <r>
    <x v="1"/>
    <x v="1"/>
    <x v="0"/>
    <n v="235"/>
  </r>
  <r>
    <x v="1"/>
    <x v="2"/>
    <x v="1"/>
    <n v="1000"/>
  </r>
  <r>
    <x v="2"/>
    <x v="0"/>
    <x v="0"/>
    <n v="125"/>
  </r>
  <r>
    <x v="2"/>
    <x v="1"/>
    <x v="0"/>
    <n v="235"/>
  </r>
  <r>
    <x v="2"/>
    <x v="2"/>
    <x v="1"/>
    <n v="20"/>
  </r>
  <r>
    <x v="3"/>
    <x v="0"/>
    <x v="0"/>
    <n v="125"/>
  </r>
  <r>
    <x v="3"/>
    <x v="1"/>
    <x v="0"/>
    <n v="74"/>
  </r>
  <r>
    <x v="3"/>
    <x v="2"/>
    <x v="1"/>
    <n v="70"/>
  </r>
</pivotCacheRecords>
</file>

<file path=xl/pivotCache/pivotCacheRecords10.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
  <r>
    <x v="0"/>
    <x v="0"/>
    <x v="0"/>
    <n v="300"/>
  </r>
  <r>
    <x v="0"/>
    <x v="0"/>
    <x v="1"/>
    <n v="200"/>
  </r>
  <r>
    <x v="0"/>
    <x v="0"/>
    <x v="2"/>
    <n v="400"/>
  </r>
  <r>
    <x v="0"/>
    <x v="0"/>
    <x v="0"/>
    <n v="300"/>
  </r>
  <r>
    <x v="0"/>
    <x v="0"/>
    <x v="1"/>
    <n v="800"/>
  </r>
  <r>
    <x v="0"/>
    <x v="0"/>
    <x v="2"/>
    <n v="400"/>
  </r>
  <r>
    <x v="0"/>
    <x v="0"/>
    <x v="0"/>
    <n v="200"/>
  </r>
  <r>
    <x v="0"/>
    <x v="0"/>
    <x v="1"/>
    <n v="300"/>
  </r>
  <r>
    <x v="0"/>
    <x v="0"/>
    <x v="2"/>
    <n v="450"/>
  </r>
  <r>
    <x v="0"/>
    <x v="0"/>
    <x v="0"/>
    <n v="230"/>
  </r>
  <r>
    <x v="0"/>
    <x v="0"/>
    <x v="1"/>
    <n v="120"/>
  </r>
  <r>
    <x v="0"/>
    <x v="0"/>
    <x v="2"/>
    <n v="400"/>
  </r>
  <r>
    <x v="0"/>
    <x v="1"/>
    <x v="0"/>
    <n v="210"/>
  </r>
  <r>
    <x v="0"/>
    <x v="1"/>
    <x v="1"/>
    <n v="300"/>
  </r>
  <r>
    <x v="0"/>
    <x v="1"/>
    <x v="2"/>
    <n v="400"/>
  </r>
  <r>
    <x v="0"/>
    <x v="1"/>
    <x v="0"/>
    <n v="230"/>
  </r>
  <r>
    <x v="0"/>
    <x v="1"/>
    <x v="1"/>
    <n v="900"/>
  </r>
  <r>
    <x v="0"/>
    <x v="1"/>
    <x v="2"/>
    <n v="300"/>
  </r>
  <r>
    <x v="0"/>
    <x v="1"/>
    <x v="0"/>
    <n v="200"/>
  </r>
  <r>
    <x v="0"/>
    <x v="1"/>
    <x v="1"/>
    <n v="1000"/>
  </r>
  <r>
    <x v="0"/>
    <x v="1"/>
    <x v="2"/>
    <n v="220"/>
  </r>
  <r>
    <x v="0"/>
    <x v="1"/>
    <x v="0"/>
    <n v="400"/>
  </r>
  <r>
    <x v="0"/>
    <x v="1"/>
    <x v="1"/>
    <n v="200"/>
  </r>
  <r>
    <x v="0"/>
    <x v="1"/>
    <x v="2"/>
    <n v="400"/>
  </r>
  <r>
    <x v="1"/>
    <x v="2"/>
    <x v="0"/>
    <n v="100"/>
  </r>
  <r>
    <x v="1"/>
    <x v="2"/>
    <x v="1"/>
    <n v="30"/>
  </r>
  <r>
    <x v="1"/>
    <x v="2"/>
    <x v="2"/>
    <n v="123"/>
  </r>
  <r>
    <x v="1"/>
    <x v="2"/>
    <x v="0"/>
    <n v="300"/>
  </r>
  <r>
    <x v="1"/>
    <x v="2"/>
    <x v="1"/>
    <n v="350"/>
  </r>
  <r>
    <x v="1"/>
    <x v="2"/>
    <x v="2"/>
    <n v="230"/>
  </r>
  <r>
    <x v="1"/>
    <x v="2"/>
    <x v="0"/>
    <n v="120"/>
  </r>
  <r>
    <x v="1"/>
    <x v="2"/>
    <x v="1"/>
    <n v="640"/>
  </r>
  <r>
    <x v="1"/>
    <x v="2"/>
    <x v="2"/>
    <n v="530"/>
  </r>
  <r>
    <x v="1"/>
    <x v="2"/>
    <x v="0"/>
    <n v="560"/>
  </r>
  <r>
    <x v="1"/>
    <x v="2"/>
    <x v="1"/>
    <n v="240"/>
  </r>
  <r>
    <x v="1"/>
    <x v="2"/>
    <x v="2"/>
    <n v="250"/>
  </r>
  <r>
    <x v="1"/>
    <x v="3"/>
    <x v="0"/>
    <n v="62"/>
  </r>
  <r>
    <x v="1"/>
    <x v="3"/>
    <x v="1"/>
    <n v="600"/>
  </r>
  <r>
    <x v="1"/>
    <x v="3"/>
    <x v="2"/>
    <n v="340"/>
  </r>
  <r>
    <x v="1"/>
    <x v="3"/>
    <x v="0"/>
    <n v="205"/>
  </r>
  <r>
    <x v="1"/>
    <x v="3"/>
    <x v="1"/>
    <n v="500"/>
  </r>
  <r>
    <x v="1"/>
    <x v="3"/>
    <x v="2"/>
    <n v="403"/>
  </r>
  <r>
    <x v="1"/>
    <x v="3"/>
    <x v="0"/>
    <n v="503"/>
  </r>
  <r>
    <x v="1"/>
    <x v="3"/>
    <x v="1"/>
    <n v="2000"/>
  </r>
  <r>
    <x v="1"/>
    <x v="3"/>
    <x v="2"/>
    <n v="140"/>
  </r>
  <r>
    <x v="1"/>
    <x v="3"/>
    <x v="0"/>
    <n v="502"/>
  </r>
  <r>
    <x v="1"/>
    <x v="3"/>
    <x v="1"/>
    <n v="120"/>
  </r>
  <r>
    <x v="1"/>
    <x v="3"/>
    <x v="2"/>
    <n v="50"/>
  </r>
</pivotCacheRecords>
</file>

<file path=xl/pivotCache/pivotCacheRecords1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
  <r>
    <x v="0"/>
    <x v="0"/>
    <x v="0"/>
    <n v="300"/>
  </r>
  <r>
    <x v="0"/>
    <x v="1"/>
    <x v="1"/>
    <n v="200"/>
  </r>
  <r>
    <x v="0"/>
    <x v="2"/>
    <x v="2"/>
    <n v="400"/>
  </r>
  <r>
    <x v="0"/>
    <x v="0"/>
    <x v="3"/>
    <n v="300"/>
  </r>
  <r>
    <x v="0"/>
    <x v="1"/>
    <x v="0"/>
    <n v="800"/>
  </r>
  <r>
    <x v="0"/>
    <x v="2"/>
    <x v="1"/>
    <n v="400"/>
  </r>
  <r>
    <x v="0"/>
    <x v="0"/>
    <x v="2"/>
    <n v="200"/>
  </r>
  <r>
    <x v="0"/>
    <x v="1"/>
    <x v="3"/>
    <n v="300"/>
  </r>
  <r>
    <x v="0"/>
    <x v="2"/>
    <x v="0"/>
    <n v="450"/>
  </r>
  <r>
    <x v="0"/>
    <x v="0"/>
    <x v="1"/>
    <n v="230"/>
  </r>
  <r>
    <x v="0"/>
    <x v="1"/>
    <x v="2"/>
    <n v="120"/>
  </r>
  <r>
    <x v="0"/>
    <x v="2"/>
    <x v="3"/>
    <n v="400"/>
  </r>
  <r>
    <x v="1"/>
    <x v="0"/>
    <x v="4"/>
    <n v="210"/>
  </r>
  <r>
    <x v="1"/>
    <x v="1"/>
    <x v="5"/>
    <n v="300"/>
  </r>
  <r>
    <x v="1"/>
    <x v="2"/>
    <x v="6"/>
    <n v="400"/>
  </r>
  <r>
    <x v="1"/>
    <x v="0"/>
    <x v="7"/>
    <n v="230"/>
  </r>
  <r>
    <x v="1"/>
    <x v="1"/>
    <x v="4"/>
    <n v="900"/>
  </r>
  <r>
    <x v="1"/>
    <x v="2"/>
    <x v="5"/>
    <n v="300"/>
  </r>
  <r>
    <x v="1"/>
    <x v="0"/>
    <x v="6"/>
    <n v="200"/>
  </r>
  <r>
    <x v="1"/>
    <x v="1"/>
    <x v="7"/>
    <n v="1000"/>
  </r>
  <r>
    <x v="1"/>
    <x v="2"/>
    <x v="4"/>
    <n v="220"/>
  </r>
  <r>
    <x v="1"/>
    <x v="0"/>
    <x v="5"/>
    <n v="400"/>
  </r>
  <r>
    <x v="1"/>
    <x v="1"/>
    <x v="6"/>
    <n v="200"/>
  </r>
  <r>
    <x v="1"/>
    <x v="2"/>
    <x v="7"/>
    <n v="400"/>
  </r>
  <r>
    <x v="2"/>
    <x v="0"/>
    <x v="8"/>
    <n v="100"/>
  </r>
  <r>
    <x v="2"/>
    <x v="1"/>
    <x v="9"/>
    <n v="30"/>
  </r>
  <r>
    <x v="2"/>
    <x v="2"/>
    <x v="10"/>
    <n v="123"/>
  </r>
  <r>
    <x v="2"/>
    <x v="0"/>
    <x v="11"/>
    <n v="300"/>
  </r>
  <r>
    <x v="2"/>
    <x v="1"/>
    <x v="8"/>
    <n v="350"/>
  </r>
  <r>
    <x v="2"/>
    <x v="2"/>
    <x v="9"/>
    <n v="230"/>
  </r>
  <r>
    <x v="2"/>
    <x v="0"/>
    <x v="10"/>
    <n v="120"/>
  </r>
  <r>
    <x v="2"/>
    <x v="1"/>
    <x v="11"/>
    <n v="640"/>
  </r>
  <r>
    <x v="2"/>
    <x v="2"/>
    <x v="8"/>
    <n v="530"/>
  </r>
  <r>
    <x v="2"/>
    <x v="0"/>
    <x v="9"/>
    <n v="560"/>
  </r>
  <r>
    <x v="2"/>
    <x v="1"/>
    <x v="10"/>
    <n v="240"/>
  </r>
  <r>
    <x v="2"/>
    <x v="2"/>
    <x v="11"/>
    <n v="250"/>
  </r>
  <r>
    <x v="3"/>
    <x v="0"/>
    <x v="12"/>
    <n v="62"/>
  </r>
  <r>
    <x v="3"/>
    <x v="1"/>
    <x v="13"/>
    <n v="600"/>
  </r>
  <r>
    <x v="3"/>
    <x v="2"/>
    <x v="2"/>
    <n v="340"/>
  </r>
  <r>
    <x v="3"/>
    <x v="0"/>
    <x v="0"/>
    <n v="205"/>
  </r>
  <r>
    <x v="3"/>
    <x v="1"/>
    <x v="12"/>
    <n v="500"/>
  </r>
  <r>
    <x v="3"/>
    <x v="2"/>
    <x v="13"/>
    <n v="403"/>
  </r>
  <r>
    <x v="3"/>
    <x v="0"/>
    <x v="2"/>
    <n v="503"/>
  </r>
  <r>
    <x v="3"/>
    <x v="1"/>
    <x v="0"/>
    <n v="2000"/>
  </r>
  <r>
    <x v="3"/>
    <x v="2"/>
    <x v="12"/>
    <n v="140"/>
  </r>
  <r>
    <x v="3"/>
    <x v="0"/>
    <x v="13"/>
    <n v="502"/>
  </r>
  <r>
    <x v="3"/>
    <x v="1"/>
    <x v="2"/>
    <n v="120"/>
  </r>
  <r>
    <x v="3"/>
    <x v="2"/>
    <x v="0"/>
    <n v="50"/>
  </r>
</pivotCacheRecords>
</file>

<file path=xl/pivotCache/pivotCacheRecords1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d v="2017-01-01T00:00:00"/>
    <x v="0"/>
    <s v="Gifts"/>
    <n v="95"/>
  </r>
  <r>
    <d v="2017-01-15T00:00:00"/>
    <x v="1"/>
    <s v="Food"/>
    <n v="325"/>
  </r>
  <r>
    <d v="2017-01-17T00:00:00"/>
    <x v="1"/>
    <s v="Tickets"/>
    <n v="250"/>
  </r>
  <r>
    <d v="2017-01-21T00:00:00"/>
    <x v="0"/>
    <s v="Food"/>
    <n v="125"/>
  </r>
  <r>
    <d v="2017-02-02T00:00:00"/>
    <x v="1"/>
    <s v="Food"/>
    <n v="235"/>
  </r>
  <r>
    <d v="2017-02-20T00:00:00"/>
    <x v="2"/>
    <s v="Music"/>
    <n v="20"/>
  </r>
  <r>
    <d v="2017-02-25T00:00:00"/>
    <x v="2"/>
    <s v="Tickets"/>
    <n v="125"/>
  </r>
  <r>
    <d v="2017-02-25T00:00:00"/>
    <x v="2"/>
    <s v="Sports"/>
    <n v="125"/>
  </r>
</pivotCacheRecords>
</file>

<file path=xl/pivotCache/pivotCacheRecords1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d v="2017-01-01T00:00:00"/>
    <x v="0"/>
    <s v="Gifts"/>
    <n v="95"/>
  </r>
  <r>
    <d v="2017-01-15T00:00:00"/>
    <x v="1"/>
    <s v="Food"/>
    <n v="325"/>
  </r>
  <r>
    <d v="2017-01-17T00:00:00"/>
    <x v="1"/>
    <s v="Tickets"/>
    <n v="250"/>
  </r>
  <r>
    <d v="2017-01-21T00:00:00"/>
    <x v="0"/>
    <s v="Food"/>
    <n v="125"/>
  </r>
  <r>
    <d v="2017-02-02T00:00:00"/>
    <x v="1"/>
    <s v="Food"/>
    <n v="235"/>
  </r>
  <r>
    <d v="2017-02-20T00:00:00"/>
    <x v="2"/>
    <s v="Music"/>
    <n v="20"/>
  </r>
  <r>
    <d v="2017-02-25T00:00:00"/>
    <x v="2"/>
    <s v="Tickets"/>
    <n v="125"/>
  </r>
  <r>
    <d v="2017-02-25T00:00:00"/>
    <x v="2"/>
    <s v="Sports"/>
    <n v="125"/>
  </r>
</pivotCacheRecords>
</file>

<file path=xl/pivotCache/pivotCacheRecords1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d v="2017-01-01T00:00:00"/>
    <x v="0"/>
    <s v="Gifts"/>
    <n v="95"/>
  </r>
  <r>
    <d v="2017-01-15T00:00:00"/>
    <x v="1"/>
    <s v="Food"/>
    <n v="325"/>
  </r>
  <r>
    <d v="2017-01-17T00:00:00"/>
    <x v="1"/>
    <s v="Tickets"/>
    <n v="250"/>
  </r>
  <r>
    <d v="2017-01-21T00:00:00"/>
    <x v="0"/>
    <s v="Food"/>
    <n v="125"/>
  </r>
  <r>
    <d v="2017-02-02T00:00:00"/>
    <x v="1"/>
    <s v="Food"/>
    <n v="235"/>
  </r>
  <r>
    <d v="2017-02-20T00:00:00"/>
    <x v="2"/>
    <s v="Music"/>
    <n v="20"/>
  </r>
  <r>
    <d v="2017-02-25T00:00:00"/>
    <x v="2"/>
    <s v="Tickets"/>
    <n v="125"/>
  </r>
  <r>
    <d v="2017-02-25T00:00:00"/>
    <x v="2"/>
    <s v="Sports"/>
    <n v="125"/>
  </r>
</pivotCacheRecords>
</file>

<file path=xl/pivotCache/pivotCacheRecords1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d v="2017-01-01T00:00:00"/>
    <x v="0"/>
    <x v="0"/>
    <n v="95"/>
  </r>
  <r>
    <d v="2017-01-15T00:00:00"/>
    <x v="1"/>
    <x v="1"/>
    <n v="325"/>
  </r>
  <r>
    <d v="2017-01-17T00:00:00"/>
    <x v="1"/>
    <x v="2"/>
    <n v="250"/>
  </r>
  <r>
    <d v="2017-01-21T00:00:00"/>
    <x v="0"/>
    <x v="1"/>
    <n v="125"/>
  </r>
  <r>
    <d v="2017-02-02T00:00:00"/>
    <x v="1"/>
    <x v="1"/>
    <n v="235"/>
  </r>
  <r>
    <d v="2017-02-20T00:00:00"/>
    <x v="2"/>
    <x v="3"/>
    <n v="20"/>
  </r>
  <r>
    <d v="2017-02-25T00:00:00"/>
    <x v="2"/>
    <x v="2"/>
    <n v="125"/>
  </r>
  <r>
    <d v="2017-02-25T00:00:00"/>
    <x v="2"/>
    <x v="4"/>
    <n v="1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name="PivotTable1" cacheId="11" applyNumberFormats="0" applyBorderFormats="0" applyFontFormats="0" applyPatternFormats="0" applyAlignmentFormats="0" applyWidthHeightFormats="1" dataCaption="Values" updatedVersion="6" minRefreshableVersion="3" itemPrintTitles="1" createdVersion="6" indent="0" compact="0" compactData="0" multipleFieldFilters="0">
  <location ref="H10:I14" firstHeaderRow="1" firstDataRow="1" firstDataCol="1"/>
  <pivotFields count="4">
    <pivotField compact="0" numFmtId="16" outline="0" subtotalTop="0" showAll="0"/>
    <pivotField axis="axisRow" compact="0" outline="0" subtotalTop="0" showAll="0">
      <items count="4">
        <item x="0"/>
        <item x="2"/>
        <item x="1"/>
        <item t="default"/>
      </items>
    </pivotField>
    <pivotField compact="0" outline="0" subtotalTop="0" showAll="0"/>
    <pivotField dataField="1" compact="0" numFmtId="44" outline="0" subtotalTop="0" showAll="0"/>
  </pivotFields>
  <rowFields count="1">
    <field x="1"/>
  </rowFields>
  <rowItems count="4">
    <i>
      <x/>
    </i>
    <i>
      <x v="1"/>
    </i>
    <i>
      <x v="2"/>
    </i>
    <i t="grand">
      <x/>
    </i>
  </rowItems>
  <colItems count="1">
    <i/>
  </colItems>
  <dataFields count="1">
    <dataField name="Sum of Amount" fld="3" baseField="0" baseItem="0" numFmtId="5"/>
  </dataFields>
  <formats count="2">
    <format dxfId="110">
      <pivotArea outline="0" collapsedLevelsAreSubtotals="1" fieldPosition="0"/>
    </format>
    <format dxfId="10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PivotTable with a Buyer row field that breaks down the Amount values in Expenses12 table and generates the Sum of Amounts field values"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tbl_2.1" cacheId="12" applyNumberFormats="0" applyBorderFormats="0" applyFontFormats="0" applyPatternFormats="0" applyAlignmentFormats="0" applyWidthHeightFormats="1" dataCaption="Values" updatedVersion="6" minRefreshableVersion="3" itemPrintTitles="1" createdVersion="6" indent="0" compact="0" compactData="0" multipleFieldFilters="0">
  <location ref="F11:G15" firstHeaderRow="1" firstDataRow="1" firstDataCol="1"/>
  <pivotFields count="4">
    <pivotField compact="0" numFmtId="16" outline="0" subtotalTop="0" showAll="0"/>
    <pivotField axis="axisRow" compact="0" outline="0" subtotalTop="0" showAll="0">
      <items count="4">
        <item x="0"/>
        <item x="2"/>
        <item x="1"/>
        <item t="default"/>
      </items>
    </pivotField>
    <pivotField compact="0" outline="0" subtotalTop="0" showAll="0"/>
    <pivotField dataField="1" compact="0" numFmtId="44" outline="0" subtotalTop="0" showAll="0"/>
  </pivotFields>
  <rowFields count="1">
    <field x="1"/>
  </rowFields>
  <rowItems count="4">
    <i>
      <x/>
    </i>
    <i>
      <x v="1"/>
    </i>
    <i>
      <x v="2"/>
    </i>
    <i t="grand">
      <x/>
    </i>
  </rowItems>
  <colItems count="1">
    <i/>
  </colItems>
  <dataFields count="1">
    <dataField name="Sum of Amount" fld="3" baseField="0" baseItem="0" numFmtId="5"/>
  </dataFields>
  <formats count="2">
    <format dxfId="102">
      <pivotArea outline="0" collapsedLevelsAreSubtotals="1" fieldPosition="0"/>
    </format>
    <format dxfId="10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PivotTable with a Buyer row field that breaks down the Amount values in Expenses12 table and generates the Sum of Amounts field values"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1" cacheId="13" applyNumberFormats="0" applyBorderFormats="0" applyFontFormats="0" applyPatternFormats="0" applyAlignmentFormats="0" applyWidthHeightFormats="1" dataCaption="Values" updatedVersion="6" minRefreshableVersion="3" itemPrintTitles="1" createdVersion="6" indent="0" compact="0" compactData="0" multipleFieldFilters="0">
  <location ref="F11:G15" firstHeaderRow="1" firstDataRow="1" firstDataCol="1"/>
  <pivotFields count="4">
    <pivotField compact="0" numFmtId="16" outline="0" subtotalTop="0" showAll="0"/>
    <pivotField axis="axisRow" compact="0" outline="0" subtotalTop="0" showAll="0">
      <items count="4">
        <item x="0"/>
        <item x="2"/>
        <item x="1"/>
        <item t="default"/>
      </items>
    </pivotField>
    <pivotField compact="0" outline="0" subtotalTop="0" showAll="0"/>
    <pivotField dataField="1" compact="0" numFmtId="44" outline="0" subtotalTop="0" showAll="0"/>
  </pivotFields>
  <rowFields count="1">
    <field x="1"/>
  </rowFields>
  <rowItems count="4">
    <i>
      <x/>
    </i>
    <i>
      <x v="1"/>
    </i>
    <i>
      <x v="2"/>
    </i>
    <i t="grand">
      <x/>
    </i>
  </rowItems>
  <colItems count="1">
    <i/>
  </colItems>
  <dataFields count="1">
    <dataField name="Sum of Amount" fld="3" baseField="0" baseItem="0" numFmtId="5"/>
  </dataFields>
  <formats count="2">
    <format dxfId="94">
      <pivotArea outline="0" collapsedLevelsAreSubtotals="1" fieldPosition="0"/>
    </format>
    <format dxfId="9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PivotTable with a Buyer row field that breaks down the Amount values in Expenses12 table and generates the Sum of Amounts field values"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1" cacheId="14" applyNumberFormats="0" applyBorderFormats="0" applyFontFormats="0" applyPatternFormats="0" applyAlignmentFormats="0" applyWidthHeightFormats="1" dataCaption="Values" updatedVersion="6" minRefreshableVersion="3" itemPrintTitles="1" createdVersion="6" indent="0" compact="0" compactData="0" multipleFieldFilters="0">
  <location ref="C10:I15" firstHeaderRow="1" firstDataRow="2" firstDataCol="1"/>
  <pivotFields count="4">
    <pivotField compact="0" numFmtId="16" outline="0" subtotalTop="0" showAll="0"/>
    <pivotField axis="axisRow" compact="0" outline="0" subtotalTop="0" showAll="0">
      <items count="4">
        <item x="0"/>
        <item x="2"/>
        <item x="1"/>
        <item t="default"/>
      </items>
    </pivotField>
    <pivotField axis="axisCol" compact="0" outline="0" subtotalTop="0" showAll="0">
      <items count="7">
        <item x="1"/>
        <item x="3"/>
        <item x="4"/>
        <item x="2"/>
        <item m="1" x="5"/>
        <item x="0"/>
        <item t="default"/>
      </items>
    </pivotField>
    <pivotField dataField="1" compact="0" numFmtId="44" outline="0" subtotalTop="0" showAll="0"/>
  </pivotFields>
  <rowFields count="1">
    <field x="1"/>
  </rowFields>
  <rowItems count="4">
    <i>
      <x/>
    </i>
    <i>
      <x v="1"/>
    </i>
    <i>
      <x v="2"/>
    </i>
    <i t="grand">
      <x/>
    </i>
  </rowItems>
  <colFields count="1">
    <field x="2"/>
  </colFields>
  <colItems count="6">
    <i>
      <x/>
    </i>
    <i>
      <x v="1"/>
    </i>
    <i>
      <x v="2"/>
    </i>
    <i>
      <x v="3"/>
    </i>
    <i>
      <x v="5"/>
    </i>
    <i t="grand">
      <x/>
    </i>
  </colItems>
  <dataFields count="1">
    <dataField name="Sum of Amount" fld="3" baseField="0" baseItem="0" numFmtId="5"/>
  </dataFields>
  <formats count="2">
    <format dxfId="86">
      <pivotArea outline="0" collapsedLevelsAreSubtotals="1" fieldPosition="0"/>
    </format>
    <format dxfId="8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PivotTable with a Buyer row field that breaks down the Amount values in Expenses12 table and generates the Sum of Amounts field values"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3" cacheId="1" applyNumberFormats="0" applyBorderFormats="0" applyFontFormats="0" applyPatternFormats="0" applyAlignmentFormats="0" applyWidthHeightFormats="1" dataCaption="Values" updatedVersion="6" minRefreshableVersion="3" itemPrintTitles="1" createdVersion="6" indent="0" compact="0" compactData="0" multipleFieldFilters="0">
  <location ref="C10:I15" firstHeaderRow="1" firstDataRow="2" firstDataCol="1"/>
  <pivotFields count="4">
    <pivotField compact="0" numFmtId="164" outline="0" showAll="0"/>
    <pivotField axis="axisRow" compact="0" outline="0" showAll="0">
      <items count="4">
        <item x="0"/>
        <item x="2"/>
        <item x="1"/>
        <item t="default"/>
      </items>
    </pivotField>
    <pivotField axis="axisCol" compact="0" outline="0" showAll="0">
      <items count="6">
        <item x="1"/>
        <item x="0"/>
        <item x="3"/>
        <item x="4"/>
        <item x="2"/>
        <item t="default"/>
      </items>
    </pivotField>
    <pivotField dataField="1" compact="0" outline="0" showAll="0"/>
  </pivotFields>
  <rowFields count="1">
    <field x="1"/>
  </rowFields>
  <rowItems count="4">
    <i>
      <x/>
    </i>
    <i>
      <x v="1"/>
    </i>
    <i>
      <x v="2"/>
    </i>
    <i t="grand">
      <x/>
    </i>
  </rowItems>
  <colFields count="1">
    <field x="2"/>
  </colFields>
  <colItems count="6">
    <i>
      <x/>
    </i>
    <i>
      <x v="1"/>
    </i>
    <i>
      <x v="2"/>
    </i>
    <i>
      <x v="3"/>
    </i>
    <i>
      <x v="4"/>
    </i>
    <i t="grand">
      <x/>
    </i>
  </colItems>
  <dataFields count="1">
    <dataField name="Sum of Amount" fld="3" baseField="1" baseItem="1"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1" cacheId="0" applyNumberFormats="0" applyBorderFormats="0" applyFontFormats="0" applyPatternFormats="0" applyAlignmentFormats="0" applyWidthHeightFormats="1" dataCaption="Values" grandTotalCaption="Grand Total" updatedVersion="6" minRefreshableVersion="3" itemPrintTitles="1" createdVersion="6" indent="0" compact="0" compactData="0" multipleFieldFilters="0">
  <location ref="B13:C17" firstHeaderRow="1" firstDataRow="1" firstDataCol="1"/>
  <pivotFields count="4">
    <pivotField compact="0" numFmtId="16" outline="0" subtotalTop="0" showAll="0"/>
    <pivotField axis="axisRow" compact="0" outline="0" subtotalTop="0" showAll="0">
      <items count="4">
        <item x="0"/>
        <item x="2"/>
        <item x="1"/>
        <item t="default"/>
      </items>
    </pivotField>
    <pivotField compact="0" outline="0" subtotalTop="0" showAll="0">
      <items count="6">
        <item x="1"/>
        <item x="0"/>
        <item x="3"/>
        <item x="4"/>
        <item x="2"/>
        <item t="default"/>
      </items>
    </pivotField>
    <pivotField dataField="1" compact="0" numFmtId="44" outline="0" subtotalTop="0" showAll="0"/>
  </pivotFields>
  <rowFields count="1">
    <field x="1"/>
  </rowFields>
  <rowItems count="4">
    <i>
      <x/>
    </i>
    <i>
      <x v="1"/>
    </i>
    <i>
      <x v="2"/>
    </i>
    <i t="grand">
      <x/>
    </i>
  </rowItems>
  <colItems count="1">
    <i/>
  </colItems>
  <dataFields count="1">
    <dataField name="Sum of Amount" fld="3" baseField="0" baseItem="0" numFmtId="5"/>
  </dataFields>
  <formats count="2">
    <format dxfId="77">
      <pivotArea outline="0" collapsedLevelsAreSubtotals="1" fieldPosition="0"/>
    </format>
    <format dxfId="7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PivotTable with a Buyer row field that breaks down the Amount values in Expenses12 table and generates the Sum of Amounts field values"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4" cacheId="2" applyNumberFormats="0" applyBorderFormats="0" applyFontFormats="0" applyPatternFormats="0" applyAlignmentFormats="0" applyWidthHeightFormats="1" dataCaption="Values" updatedVersion="6" minRefreshableVersion="3" itemPrintTitles="1" createdVersion="6" indent="0" compact="0" compactData="0" multipleFieldFilters="0">
  <location ref="C9:I14" firstHeaderRow="1" firstDataRow="2" firstDataCol="1"/>
  <pivotFields count="4">
    <pivotField compact="0" numFmtId="164" outline="0" showAll="0"/>
    <pivotField axis="axisRow" compact="0" outline="0" showAll="0">
      <items count="4">
        <item x="0"/>
        <item x="2"/>
        <item x="1"/>
        <item t="default"/>
      </items>
    </pivotField>
    <pivotField axis="axisCol" compact="0" outline="0" showAll="0">
      <items count="6">
        <item x="1"/>
        <item x="0"/>
        <item x="3"/>
        <item x="4"/>
        <item x="2"/>
        <item t="default"/>
      </items>
    </pivotField>
    <pivotField dataField="1" compact="0" outline="0" showAll="0"/>
  </pivotFields>
  <rowFields count="1">
    <field x="1"/>
  </rowFields>
  <rowItems count="4">
    <i>
      <x/>
    </i>
    <i>
      <x v="1"/>
    </i>
    <i>
      <x v="2"/>
    </i>
    <i t="grand">
      <x/>
    </i>
  </rowItems>
  <colFields count="1">
    <field x="2"/>
  </colFields>
  <colItems count="6">
    <i>
      <x/>
    </i>
    <i>
      <x v="1"/>
    </i>
    <i>
      <x v="2"/>
    </i>
    <i>
      <x v="3"/>
    </i>
    <i>
      <x v="4"/>
    </i>
    <i t="grand">
      <x/>
    </i>
  </colItems>
  <dataFields count="1">
    <dataField name="Sum of Amount" fld="3" baseField="1" baseItem="0" numFmtId="166"/>
  </dataFields>
  <formats count="20">
    <format dxfId="74">
      <pivotArea type="origin" dataOnly="0" labelOnly="1" outline="0" fieldPosition="0"/>
    </format>
    <format dxfId="73">
      <pivotArea type="origin" dataOnly="0" labelOnly="1" outline="0" fieldPosition="0"/>
    </format>
    <format dxfId="72">
      <pivotArea type="topRight" dataOnly="0" labelOnly="1" outline="0" offset="E1" fieldPosition="0"/>
    </format>
    <format dxfId="71">
      <pivotArea type="topRight" dataOnly="0" labelOnly="1" outline="0" offset="A1:D1" fieldPosition="0"/>
    </format>
    <format dxfId="70">
      <pivotArea field="2" type="button" dataOnly="0" labelOnly="1" outline="0" axis="axisCol" fieldPosition="0"/>
    </format>
    <format dxfId="69">
      <pivotArea dataOnly="0" labelOnly="1" outline="0" fieldPosition="0">
        <references count="1">
          <reference field="2" count="0"/>
        </references>
      </pivotArea>
    </format>
    <format dxfId="68">
      <pivotArea field="1" type="button" dataOnly="0" labelOnly="1" outline="0" axis="axisRow" fieldPosition="0"/>
    </format>
    <format dxfId="67">
      <pivotArea dataOnly="0" labelOnly="1" outline="0" fieldPosition="0">
        <references count="1">
          <reference field="1" count="0"/>
        </references>
      </pivotArea>
    </format>
    <format dxfId="66">
      <pivotArea field="2" type="button" dataOnly="0" labelOnly="1" outline="0" axis="axisCol" fieldPosition="0"/>
    </format>
    <format dxfId="65">
      <pivotArea dataOnly="0" labelOnly="1" outline="0" fieldPosition="0">
        <references count="1">
          <reference field="2" count="1">
            <x v="0"/>
          </reference>
        </references>
      </pivotArea>
    </format>
    <format dxfId="64">
      <pivotArea dataOnly="0" labelOnly="1" outline="0" fieldPosition="0">
        <references count="1">
          <reference field="2" count="4">
            <x v="1"/>
            <x v="2"/>
            <x v="3"/>
            <x v="4"/>
          </reference>
        </references>
      </pivotArea>
    </format>
    <format dxfId="63">
      <pivotArea outline="0" fieldPosition="0">
        <references count="2">
          <reference field="1" count="0" selected="0"/>
          <reference field="2" count="0" selected="0"/>
        </references>
      </pivotArea>
    </format>
    <format dxfId="62">
      <pivotArea dataOnly="0" labelOnly="1" grandCol="1" outline="0" fieldPosition="0"/>
    </format>
    <format dxfId="61">
      <pivotArea dataOnly="0" labelOnly="1" grandCol="1" outline="0" fieldPosition="0"/>
    </format>
    <format dxfId="60">
      <pivotArea field="1" grandCol="1" outline="0" axis="axisRow" fieldPosition="0">
        <references count="1">
          <reference field="1" count="0" selected="0"/>
        </references>
      </pivotArea>
    </format>
    <format dxfId="59">
      <pivotArea grandRow="1" grandCol="1" outline="0" collapsedLevelsAreSubtotals="1" fieldPosition="0"/>
    </format>
    <format dxfId="58">
      <pivotArea field="2" grandRow="1" outline="0" axis="axisCol" fieldPosition="0">
        <references count="1">
          <reference field="2" count="0" selected="0"/>
        </references>
      </pivotArea>
    </format>
    <format dxfId="57">
      <pivotArea dataOnly="0" labelOnly="1" grandRow="1" outline="0" fieldPosition="0"/>
    </format>
    <format dxfId="56">
      <pivotArea field="2" type="button" dataOnly="0" labelOnly="1" outline="0" axis="axisCol" fieldPosition="0"/>
    </format>
    <format dxfId="55">
      <pivotArea dataOnly="0" labelOnly="1" outline="0" fieldPosition="0">
        <references count="1">
          <reference field="2"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name="PivotTable1" cacheId="3" applyNumberFormats="0" applyBorderFormats="0" applyFontFormats="0" applyPatternFormats="0" applyAlignmentFormats="0" applyWidthHeightFormats="1" dataCaption="Values" updatedVersion="6" minRefreshableVersion="3" itemPrintTitles="1" createdVersion="6" indent="0" compact="0" compactData="0" multipleFieldFilters="0">
  <location ref="C10:X15" firstHeaderRow="1" firstDataRow="2" firstDataCol="1"/>
  <pivotFields count="5">
    <pivotField compact="0" numFmtId="16"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compact="0" outline="0" showAll="0">
      <items count="4">
        <item x="0"/>
        <item x="1"/>
        <item x="2"/>
        <item t="default"/>
      </items>
    </pivotField>
    <pivotField axis="axisCol" compact="0" outline="0" showAll="0">
      <items count="21">
        <item x="5"/>
        <item x="12"/>
        <item x="11"/>
        <item x="3"/>
        <item x="0"/>
        <item x="4"/>
        <item x="6"/>
        <item x="15"/>
        <item x="14"/>
        <item x="16"/>
        <item x="2"/>
        <item x="17"/>
        <item x="9"/>
        <item x="10"/>
        <item x="1"/>
        <item x="7"/>
        <item x="8"/>
        <item x="13"/>
        <item x="18"/>
        <item x="19"/>
        <item t="default"/>
      </items>
    </pivotField>
    <pivotField dataField="1" compact="0" numFmtId="44" outline="0" showAll="0"/>
    <pivotField compact="0" outline="0" showAll="0">
      <items count="15">
        <item x="0"/>
        <item x="1"/>
        <item x="2"/>
        <item x="3"/>
        <item x="4"/>
        <item x="5"/>
        <item x="6"/>
        <item x="7"/>
        <item x="8"/>
        <item x="9"/>
        <item x="10"/>
        <item x="11"/>
        <item x="12"/>
        <item x="13"/>
        <item t="default"/>
      </items>
    </pivotField>
  </pivotFields>
  <rowFields count="1">
    <field x="1"/>
  </rowFields>
  <rowItems count="4">
    <i>
      <x/>
    </i>
    <i>
      <x v="1"/>
    </i>
    <i>
      <x v="2"/>
    </i>
    <i t="grand">
      <x/>
    </i>
  </rowItems>
  <colFields count="1">
    <field x="2"/>
  </colFields>
  <colItems count="21">
    <i>
      <x/>
    </i>
    <i>
      <x v="1"/>
    </i>
    <i>
      <x v="2"/>
    </i>
    <i>
      <x v="3"/>
    </i>
    <i>
      <x v="4"/>
    </i>
    <i>
      <x v="5"/>
    </i>
    <i>
      <x v="6"/>
    </i>
    <i>
      <x v="7"/>
    </i>
    <i>
      <x v="8"/>
    </i>
    <i>
      <x v="9"/>
    </i>
    <i>
      <x v="10"/>
    </i>
    <i>
      <x v="11"/>
    </i>
    <i>
      <x v="12"/>
    </i>
    <i>
      <x v="13"/>
    </i>
    <i>
      <x v="14"/>
    </i>
    <i>
      <x v="15"/>
    </i>
    <i>
      <x v="16"/>
    </i>
    <i>
      <x v="17"/>
    </i>
    <i>
      <x v="18"/>
    </i>
    <i>
      <x v="19"/>
    </i>
    <i t="grand">
      <x/>
    </i>
  </colItems>
  <dataFields count="1">
    <dataField name="Sum of Amount" fld="3" baseField="0" baseItem="0" numFmtId="5"/>
  </dataFields>
  <formats count="2">
    <format dxfId="48">
      <pivotArea outline="0" collapsedLevelsAreSubtotals="1" fieldPosition="0"/>
    </format>
    <format dxfId="4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PivotTable with a Buyer row field that breaks down the Amount values in Expenses12 table and generates the Sum of Amounts field values"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name="PivotTable1" cacheId="4" applyNumberFormats="0" applyBorderFormats="0" applyFontFormats="0" applyPatternFormats="0" applyAlignmentFormats="0" applyWidthHeightFormats="1" dataCaption="Values" updatedVersion="6" minRefreshableVersion="3" itemPrintTitles="1" createdVersion="6" indent="0" outline="1" outlineData="1" multipleFieldFilters="0">
  <location ref="D8:E32" firstHeaderRow="1" firstDataRow="1" firstDataCol="1"/>
  <pivotFields count="5">
    <pivotField numFmtId="16"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4">
        <item x="0"/>
        <item x="1"/>
        <item x="2"/>
        <item t="default"/>
      </items>
    </pivotField>
    <pivotField axis="axisRow" showAll="0" defaultSubtotal="0">
      <items count="20">
        <item x="5"/>
        <item x="12"/>
        <item x="11"/>
        <item x="3"/>
        <item x="0"/>
        <item x="4"/>
        <item x="6"/>
        <item x="15"/>
        <item x="14"/>
        <item x="16"/>
        <item x="2"/>
        <item x="17"/>
        <item x="9"/>
        <item x="10"/>
        <item x="1"/>
        <item x="7"/>
        <item x="8"/>
        <item x="13"/>
        <item x="18"/>
        <item x="19"/>
      </items>
    </pivotField>
    <pivotField dataField="1" numFmtId="44" showAll="0"/>
    <pivotField showAll="0">
      <items count="15">
        <item sd="0" x="0"/>
        <item sd="0" x="1"/>
        <item sd="0" x="2"/>
        <item sd="0" x="3"/>
        <item sd="0" x="4"/>
        <item sd="0" x="5"/>
        <item sd="0" x="6"/>
        <item sd="0" x="7"/>
        <item sd="0" x="8"/>
        <item sd="0" x="9"/>
        <item sd="0" x="10"/>
        <item sd="0" x="11"/>
        <item sd="0" x="12"/>
        <item sd="0" x="13"/>
        <item t="default"/>
      </items>
    </pivotField>
  </pivotFields>
  <rowFields count="2">
    <field x="1"/>
    <field x="2"/>
  </rowFields>
  <rowItems count="24">
    <i>
      <x/>
    </i>
    <i r="1">
      <x v="4"/>
    </i>
    <i r="1">
      <x v="10"/>
    </i>
    <i r="1">
      <x v="14"/>
    </i>
    <i>
      <x v="1"/>
    </i>
    <i r="1">
      <x/>
    </i>
    <i r="1">
      <x v="3"/>
    </i>
    <i r="1">
      <x v="5"/>
    </i>
    <i r="1">
      <x v="6"/>
    </i>
    <i r="1">
      <x v="12"/>
    </i>
    <i r="1">
      <x v="13"/>
    </i>
    <i r="1">
      <x v="15"/>
    </i>
    <i r="1">
      <x v="16"/>
    </i>
    <i>
      <x v="2"/>
    </i>
    <i r="1">
      <x v="1"/>
    </i>
    <i r="1">
      <x v="2"/>
    </i>
    <i r="1">
      <x v="7"/>
    </i>
    <i r="1">
      <x v="8"/>
    </i>
    <i r="1">
      <x v="9"/>
    </i>
    <i r="1">
      <x v="11"/>
    </i>
    <i r="1">
      <x v="17"/>
    </i>
    <i r="1">
      <x v="18"/>
    </i>
    <i r="1">
      <x v="19"/>
    </i>
    <i t="grand">
      <x/>
    </i>
  </rowItems>
  <colItems count="1">
    <i/>
  </colItems>
  <dataFields count="1">
    <dataField name="Sum of Amount" fld="3" baseField="0" baseItem="0" numFmtId="5"/>
  </dataFields>
  <formats count="2">
    <format dxfId="40">
      <pivotArea outline="0" collapsedLevelsAreSubtotals="1" fieldPosition="0"/>
    </format>
    <format dxfId="3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PivotTable with a Buyer row field that breaks down the Amount values in Expenses12 table and generates the Sum of Amounts field values"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name="PivotTable2" cacheId="5" applyNumberFormats="0" applyBorderFormats="0" applyFontFormats="0" applyPatternFormats="0" applyAlignmentFormats="0" applyWidthHeightFormats="1" dataCaption="Values" updatedVersion="6" minRefreshableVersion="3" itemPrintTitles="1" createdVersion="6" indent="0" outline="1" outlineData="1" multipleFieldFilters="0">
  <location ref="B13:C17" firstHeaderRow="1" firstDataRow="1" firstDataCol="1"/>
  <pivotFields count="5">
    <pivotField numFmtId="16"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4">
        <item x="0"/>
        <item x="1"/>
        <item x="2"/>
        <item t="default"/>
      </items>
    </pivotField>
    <pivotField showAll="0" defaultSubtotal="0">
      <items count="20">
        <item x="1"/>
        <item x="17"/>
        <item x="5"/>
        <item x="7"/>
        <item x="13"/>
        <item x="16"/>
        <item x="6"/>
        <item x="15"/>
        <item x="10"/>
        <item x="12"/>
        <item x="11"/>
        <item x="18"/>
        <item x="19"/>
        <item x="14"/>
        <item x="3"/>
        <item x="8"/>
        <item x="9"/>
        <item x="0"/>
        <item x="2"/>
        <item x="4"/>
      </items>
    </pivotField>
    <pivotField dataField="1" numFmtId="44"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4">
    <i>
      <x/>
    </i>
    <i>
      <x v="1"/>
    </i>
    <i>
      <x v="2"/>
    </i>
    <i t="grand">
      <x/>
    </i>
  </rowItems>
  <colItems count="1">
    <i/>
  </colItems>
  <dataFields count="1">
    <dataField name="Sum of Amount" fld="3" baseField="0" baseItem="0" numFmtId="5"/>
  </dataFields>
  <formats count="8">
    <format dxfId="32">
      <pivotArea outline="0" collapsedLevelsAreSubtotals="1" fieldPosition="0"/>
    </format>
    <format dxfId="31">
      <pivotArea outline="0" collapsedLevelsAreSubtotals="1" fieldPosition="0"/>
    </format>
    <format dxfId="30">
      <pivotArea type="all" dataOnly="0" outline="0" fieldPosition="0"/>
    </format>
    <format dxfId="29">
      <pivotArea outline="0" collapsedLevelsAreSubtotals="1" fieldPosition="0"/>
    </format>
    <format dxfId="28">
      <pivotArea field="1" type="button" dataOnly="0" labelOnly="1" outline="0" axis="axisRow" fieldPosition="0"/>
    </format>
    <format dxfId="27">
      <pivotArea dataOnly="0" labelOnly="1" fieldPosition="0">
        <references count="1">
          <reference field="1" count="0"/>
        </references>
      </pivotArea>
    </format>
    <format dxfId="26">
      <pivotArea dataOnly="0" labelOnly="1" grandRow="1" outline="0" fieldPosition="0"/>
    </format>
    <format dxfId="2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PivotTable with a Buyer row field that breaks down the Amount values in Expenses12 table and generates the Sum of Amounts field values"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name="PivotTable1" cacheId="6" applyNumberFormats="0" applyBorderFormats="0" applyFontFormats="0" applyPatternFormats="0" applyAlignmentFormats="0" applyWidthHeightFormats="1" dataCaption="Values" updatedVersion="6" minRefreshableVersion="3" itemPrintTitles="1" createdVersion="6" indent="0" outline="1" outlineData="1" multipleFieldFilters="0">
  <location ref="F7:G31" firstHeaderRow="1" firstDataRow="1" firstDataCol="1"/>
  <pivotFields count="4">
    <pivotField showAll="0"/>
    <pivotField axis="axisRow" showAll="0">
      <items count="4">
        <item x="0"/>
        <item x="1"/>
        <item x="2"/>
        <item t="default"/>
      </items>
    </pivotField>
    <pivotField axis="axisRow" showAll="0">
      <items count="21">
        <item x="17"/>
        <item x="5"/>
        <item x="16"/>
        <item x="6"/>
        <item x="15"/>
        <item x="10"/>
        <item x="12"/>
        <item x="11"/>
        <item x="14"/>
        <item x="3"/>
        <item x="9"/>
        <item x="0"/>
        <item x="2"/>
        <item x="4"/>
        <item x="1"/>
        <item x="7"/>
        <item x="8"/>
        <item x="13"/>
        <item x="18"/>
        <item x="19"/>
        <item t="default"/>
      </items>
    </pivotField>
    <pivotField dataField="1" numFmtId="5" showAll="0"/>
  </pivotFields>
  <rowFields count="2">
    <field x="1"/>
    <field x="2"/>
  </rowFields>
  <rowItems count="24">
    <i>
      <x/>
    </i>
    <i r="1">
      <x v="11"/>
    </i>
    <i r="1">
      <x v="12"/>
    </i>
    <i r="1">
      <x v="14"/>
    </i>
    <i>
      <x v="1"/>
    </i>
    <i r="1">
      <x v="1"/>
    </i>
    <i r="1">
      <x v="3"/>
    </i>
    <i r="1">
      <x v="5"/>
    </i>
    <i r="1">
      <x v="9"/>
    </i>
    <i r="1">
      <x v="10"/>
    </i>
    <i r="1">
      <x v="13"/>
    </i>
    <i r="1">
      <x v="15"/>
    </i>
    <i r="1">
      <x v="16"/>
    </i>
    <i>
      <x v="2"/>
    </i>
    <i r="1">
      <x/>
    </i>
    <i r="1">
      <x v="2"/>
    </i>
    <i r="1">
      <x v="4"/>
    </i>
    <i r="1">
      <x v="6"/>
    </i>
    <i r="1">
      <x v="7"/>
    </i>
    <i r="1">
      <x v="8"/>
    </i>
    <i r="1">
      <x v="17"/>
    </i>
    <i r="1">
      <x v="18"/>
    </i>
    <i r="1">
      <x v="19"/>
    </i>
    <i t="grand">
      <x/>
    </i>
  </rowItems>
  <colItems count="1">
    <i/>
  </colItems>
  <dataFields count="1">
    <dataField name="Sum of Amount" fld="3" baseField="2" baseItem="12" numFmtId="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name="PivotTable1" cacheId="7" applyNumberFormats="0" applyBorderFormats="0" applyFontFormats="0" applyPatternFormats="0" applyAlignmentFormats="0" applyWidthHeightFormats="1" dataCaption="Values" updatedVersion="6" minRefreshableVersion="3" itemPrintTitles="1" createdVersion="6" indent="0" outline="1" outlineData="1" multipleFieldFilters="0">
  <location ref="F7:G31" firstHeaderRow="1" firstDataRow="1" firstDataCol="1"/>
  <pivotFields count="4">
    <pivotField numFmtId="14" showAll="0"/>
    <pivotField axis="axisRow" showAll="0">
      <items count="4">
        <item x="0"/>
        <item x="1"/>
        <item x="2"/>
        <item t="default"/>
      </items>
    </pivotField>
    <pivotField axis="axisRow" showAll="0">
      <items count="21">
        <item x="17"/>
        <item x="5"/>
        <item x="16"/>
        <item x="6"/>
        <item x="15"/>
        <item x="10"/>
        <item x="12"/>
        <item x="11"/>
        <item x="14"/>
        <item x="3"/>
        <item x="9"/>
        <item x="0"/>
        <item x="2"/>
        <item x="4"/>
        <item x="1"/>
        <item x="7"/>
        <item x="8"/>
        <item x="13"/>
        <item x="18"/>
        <item x="19"/>
        <item t="default"/>
      </items>
    </pivotField>
    <pivotField dataField="1" numFmtId="5" showAll="0"/>
  </pivotFields>
  <rowFields count="2">
    <field x="1"/>
    <field x="2"/>
  </rowFields>
  <rowItems count="24">
    <i>
      <x/>
    </i>
    <i r="1">
      <x v="11"/>
    </i>
    <i r="1">
      <x v="12"/>
    </i>
    <i r="1">
      <x v="14"/>
    </i>
    <i>
      <x v="1"/>
    </i>
    <i r="1">
      <x v="1"/>
    </i>
    <i r="1">
      <x v="3"/>
    </i>
    <i r="1">
      <x v="5"/>
    </i>
    <i r="1">
      <x v="9"/>
    </i>
    <i r="1">
      <x v="10"/>
    </i>
    <i r="1">
      <x v="13"/>
    </i>
    <i r="1">
      <x v="15"/>
    </i>
    <i r="1">
      <x v="16"/>
    </i>
    <i>
      <x v="2"/>
    </i>
    <i r="1">
      <x/>
    </i>
    <i r="1">
      <x v="2"/>
    </i>
    <i r="1">
      <x v="4"/>
    </i>
    <i r="1">
      <x v="6"/>
    </i>
    <i r="1">
      <x v="7"/>
    </i>
    <i r="1">
      <x v="8"/>
    </i>
    <i r="1">
      <x v="17"/>
    </i>
    <i r="1">
      <x v="18"/>
    </i>
    <i r="1">
      <x v="19"/>
    </i>
    <i t="grand">
      <x/>
    </i>
  </rowItems>
  <colItems count="1">
    <i/>
  </colItems>
  <dataFields count="1">
    <dataField name="Sum of Amount" fld="3" baseField="2" baseItem="9" numFmtId="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name="PivotTable1" cacheId="8" applyNumberFormats="0" applyBorderFormats="0" applyFontFormats="0" applyPatternFormats="0" applyAlignmentFormats="0" applyWidthHeightFormats="1" dataCaption="Values" updatedVersion="6" minRefreshableVersion="3" itemPrintTitles="1" createdVersion="6" indent="0" outline="1" outlineData="1" multipleFieldFilters="0">
  <location ref="B13:M19" firstHeaderRow="1" firstDataRow="3" firstDataCol="1"/>
  <pivotFields count="4">
    <pivotField axis="axisCol" showAll="0">
      <items count="5">
        <item x="0"/>
        <item x="1"/>
        <item x="2"/>
        <item x="3"/>
        <item t="default"/>
      </items>
    </pivotField>
    <pivotField axis="axisRow" showAll="0">
      <items count="4">
        <item x="0"/>
        <item x="1"/>
        <item x="2"/>
        <item t="default"/>
      </items>
    </pivotField>
    <pivotField axis="axisCol" showAll="0">
      <items count="3">
        <item x="0"/>
        <item x="1"/>
        <item t="default" sd="0"/>
      </items>
    </pivotField>
    <pivotField dataField="1" numFmtId="5" showAll="0"/>
  </pivotFields>
  <rowFields count="1">
    <field x="1"/>
  </rowFields>
  <rowItems count="4">
    <i>
      <x/>
    </i>
    <i>
      <x v="1"/>
    </i>
    <i>
      <x v="2"/>
    </i>
    <i t="grand">
      <x/>
    </i>
  </rowItems>
  <colFields count="2">
    <field x="2"/>
    <field x="0"/>
  </colFields>
  <colItems count="11">
    <i>
      <x/>
      <x/>
    </i>
    <i r="1">
      <x v="1"/>
    </i>
    <i r="1">
      <x v="2"/>
    </i>
    <i r="1">
      <x v="3"/>
    </i>
    <i t="default">
      <x/>
    </i>
    <i>
      <x v="1"/>
      <x/>
    </i>
    <i r="1">
      <x v="1"/>
    </i>
    <i r="1">
      <x v="2"/>
    </i>
    <i r="1">
      <x v="3"/>
    </i>
    <i t="default">
      <x v="1"/>
    </i>
    <i t="grand">
      <x/>
    </i>
  </colItems>
  <dataFields count="1">
    <dataField name="Sum of Amount" fld="3" baseField="1" baseItem="3" numFmtId="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name="PivotTable1" cacheId="9" applyNumberFormats="0" applyBorderFormats="0" applyFontFormats="0" applyPatternFormats="0" applyAlignmentFormats="0" applyWidthHeightFormats="1" dataCaption="Values" updatedVersion="6" minRefreshableVersion="3" itemPrintTitles="1" createdVersion="6" indent="0" outline="1" outlineData="1" multipleFieldFilters="0">
  <location ref="D8:E29" firstHeaderRow="1" firstDataRow="1" firstDataCol="1"/>
  <pivotFields count="4">
    <pivotField axis="axisRow" showAll="0">
      <items count="3">
        <item x="0"/>
        <item x="1"/>
        <item t="default"/>
      </items>
    </pivotField>
    <pivotField axis="axisRow" showAll="0">
      <items count="5">
        <item x="3"/>
        <item x="1"/>
        <item x="2"/>
        <item x="0"/>
        <item t="default"/>
      </items>
    </pivotField>
    <pivotField axis="axisRow" showAll="0">
      <items count="4">
        <item x="0"/>
        <item x="1"/>
        <item x="2"/>
        <item t="default"/>
      </items>
    </pivotField>
    <pivotField dataField="1" showAll="0"/>
  </pivotFields>
  <rowFields count="3">
    <field x="1"/>
    <field x="0"/>
    <field x="2"/>
  </rowFields>
  <rowItems count="21">
    <i>
      <x/>
    </i>
    <i r="1">
      <x v="1"/>
    </i>
    <i r="2">
      <x/>
    </i>
    <i r="2">
      <x v="1"/>
    </i>
    <i r="2">
      <x v="2"/>
    </i>
    <i>
      <x v="1"/>
    </i>
    <i r="1">
      <x/>
    </i>
    <i r="2">
      <x/>
    </i>
    <i r="2">
      <x v="1"/>
    </i>
    <i r="2">
      <x v="2"/>
    </i>
    <i>
      <x v="2"/>
    </i>
    <i r="1">
      <x v="1"/>
    </i>
    <i r="2">
      <x/>
    </i>
    <i r="2">
      <x v="1"/>
    </i>
    <i r="2">
      <x v="2"/>
    </i>
    <i>
      <x v="3"/>
    </i>
    <i r="1">
      <x/>
    </i>
    <i r="2">
      <x/>
    </i>
    <i r="2">
      <x v="1"/>
    </i>
    <i r="2">
      <x v="2"/>
    </i>
    <i t="grand">
      <x/>
    </i>
  </rowItems>
  <colItems count="1">
    <i/>
  </colItems>
  <dataFields count="1">
    <dataField name="Sum of Amount" fld="3" baseField="0" baseItem="0"/>
  </dataFields>
  <formats count="2">
    <format dxfId="4">
      <pivotArea outline="0" collapsedLevelsAreSubtotals="1" fieldPosition="0"/>
    </format>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PivotTable with a Buyer row field that breaks down the Amount values in Expenses12 table and generates the Sum of Amounts field values"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name="PivotTable1" cacheId="10" applyNumberFormats="0" applyBorderFormats="0" applyFontFormats="0" applyPatternFormats="0" applyAlignmentFormats="0" applyWidthHeightFormats="1" dataCaption="Values" updatedVersion="6" minRefreshableVersion="3" itemPrintTitles="1" createdVersion="6" indent="0" outline="1" outlineData="1" multipleFieldFilters="0">
  <location ref="B12:C17" firstHeaderRow="1" firstDataRow="1" firstDataCol="1"/>
  <pivotFields count="4">
    <pivotField axis="axisRow" showAll="0">
      <items count="5">
        <item x="3"/>
        <item x="1"/>
        <item x="2"/>
        <item x="0"/>
        <item t="default"/>
      </items>
    </pivotField>
    <pivotField showAll="0">
      <items count="4">
        <item x="2"/>
        <item x="1"/>
        <item x="0"/>
        <item t="default"/>
      </items>
    </pivotField>
    <pivotField showAll="0">
      <items count="15">
        <item x="2"/>
        <item x="3"/>
        <item x="4"/>
        <item x="8"/>
        <item x="1"/>
        <item x="10"/>
        <item x="6"/>
        <item x="0"/>
        <item x="5"/>
        <item x="11"/>
        <item x="7"/>
        <item x="12"/>
        <item x="9"/>
        <item x="13"/>
        <item t="default"/>
      </items>
    </pivotField>
    <pivotField dataField="1" showAll="0"/>
  </pivotFields>
  <rowFields count="1">
    <field x="0"/>
  </rowFields>
  <rowItems count="5">
    <i>
      <x/>
    </i>
    <i>
      <x v="1"/>
    </i>
    <i>
      <x v="2"/>
    </i>
    <i>
      <x v="3"/>
    </i>
    <i t="grand">
      <x/>
    </i>
  </rowItems>
  <colItems count="1">
    <i/>
  </colItems>
  <dataFields count="1">
    <dataField name="Sum of Units sold" fld="3" baseField="0" baseItem="1" numFmtId="3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name="Sum of Units sold" cacheId="10" applyNumberFormats="0" applyBorderFormats="0" applyFontFormats="0" applyPatternFormats="0" applyAlignmentFormats="0" applyWidthHeightFormats="1" dataCaption="Values" updatedVersion="6" minRefreshableVersion="3" itemPrintTitles="1" createdVersion="6" indent="0" outline="1" outlineData="1" multipleFieldFilters="0">
  <location ref="B13:B14" firstHeaderRow="1" firstDataRow="1" firstDataCol="0"/>
  <pivotFields count="4">
    <pivotField showAll="0">
      <items count="5">
        <item x="3"/>
        <item x="1"/>
        <item x="2"/>
        <item x="0"/>
        <item t="default"/>
      </items>
    </pivotField>
    <pivotField showAll="0">
      <items count="4">
        <item x="2"/>
        <item x="1"/>
        <item x="0"/>
        <item t="default"/>
      </items>
    </pivotField>
    <pivotField showAll="0"/>
    <pivotField dataField="1" showAll="0"/>
  </pivotFields>
  <rowItems count="1">
    <i/>
  </rowItems>
  <colItems count="1">
    <i/>
  </colItems>
  <dataFields count="1">
    <dataField name="Sum of Units sold" fld="3" baseField="0" baseItem="0" numFmtId="3"/>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name="PivotTable1" cacheId="10" applyNumberFormats="0" applyBorderFormats="0" applyFontFormats="0" applyPatternFormats="0" applyAlignmentFormats="0" applyWidthHeightFormats="1" dataCaption="Values" updatedVersion="6" minRefreshableVersion="3" itemPrintTitles="1" createdVersion="6" indent="0" outline="1" outlineData="1" multipleFieldFilters="0">
  <location ref="B13:B14" firstHeaderRow="1" firstDataRow="1" firstDataCol="0"/>
  <pivotFields count="4">
    <pivotField showAll="0">
      <items count="5">
        <item x="3"/>
        <item x="1"/>
        <item x="2"/>
        <item x="0"/>
        <item t="default"/>
      </items>
    </pivotField>
    <pivotField showAll="0"/>
    <pivotField showAll="0">
      <items count="15">
        <item x="2"/>
        <item x="3"/>
        <item x="4"/>
        <item x="8"/>
        <item x="1"/>
        <item x="10"/>
        <item x="6"/>
        <item x="0"/>
        <item x="5"/>
        <item x="11"/>
        <item x="7"/>
        <item x="12"/>
        <item x="9"/>
        <item x="13"/>
        <item t="default"/>
      </items>
    </pivotField>
    <pivotField dataField="1" showAll="0"/>
  </pivotFields>
  <rowItems count="1">
    <i/>
  </rowItems>
  <colItems count="1">
    <i/>
  </colItems>
  <dataFields count="1">
    <dataField name="Sum of Units sold" fld="3" baseField="0" baseItem="0" numFmtId="3"/>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name="Sum of Units Sold" cacheId="10" applyNumberFormats="0" applyBorderFormats="0" applyFontFormats="0" applyPatternFormats="0" applyAlignmentFormats="0" applyWidthHeightFormats="1" dataCaption="Values" updatedVersion="6" minRefreshableVersion="3" itemPrintTitles="1" createdVersion="6" indent="0" outline="1" outlineData="1" multipleFieldFilters="0">
  <location ref="B13:R16" firstHeaderRow="1" firstDataRow="3" firstDataCol="1"/>
  <pivotFields count="4">
    <pivotField axis="axisCol" showAll="0">
      <items count="5">
        <item x="3"/>
        <item x="1"/>
        <item x="2"/>
        <item x="0"/>
        <item t="default"/>
      </items>
    </pivotField>
    <pivotField axis="axisCol" showAll="0">
      <items count="4">
        <item x="2"/>
        <item x="1"/>
        <item x="0"/>
        <item t="default"/>
      </items>
    </pivotField>
    <pivotField showAll="0"/>
    <pivotField dataField="1" showAll="0"/>
  </pivotFields>
  <rowItems count="1">
    <i/>
  </rowItems>
  <colFields count="2">
    <field x="1"/>
    <field x="0"/>
  </colFields>
  <colItems count="16">
    <i>
      <x/>
      <x/>
    </i>
    <i r="1">
      <x v="1"/>
    </i>
    <i r="1">
      <x v="2"/>
    </i>
    <i r="1">
      <x v="3"/>
    </i>
    <i t="default">
      <x/>
    </i>
    <i>
      <x v="1"/>
      <x/>
    </i>
    <i r="1">
      <x v="1"/>
    </i>
    <i r="1">
      <x v="2"/>
    </i>
    <i r="1">
      <x v="3"/>
    </i>
    <i t="default">
      <x v="1"/>
    </i>
    <i>
      <x v="2"/>
      <x/>
    </i>
    <i r="1">
      <x v="1"/>
    </i>
    <i r="1">
      <x v="2"/>
    </i>
    <i r="1">
      <x v="3"/>
    </i>
    <i t="default">
      <x v="2"/>
    </i>
    <i t="grand">
      <x/>
    </i>
  </colItems>
  <dataFields count="1">
    <dataField name="Sum of Units sold" fld="3" baseField="0" baseItem="1" numFmtId="3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name="Sum of Units Sold" cacheId="10" applyNumberFormats="0" applyBorderFormats="0" applyFontFormats="0" applyPatternFormats="0" applyAlignmentFormats="0" applyWidthHeightFormats="1" dataCaption="Values" updatedVersion="6" minRefreshableVersion="3" itemPrintTitles="1" createdVersion="6" indent="0" outline="1" outlineData="1" multipleFieldFilters="0">
  <location ref="B13:B14" firstHeaderRow="1" firstDataRow="1" firstDataCol="0"/>
  <pivotFields count="4">
    <pivotField showAll="0">
      <items count="5">
        <item x="3"/>
        <item x="1"/>
        <item x="2"/>
        <item x="0"/>
        <item t="default"/>
      </items>
    </pivotField>
    <pivotField showAll="0">
      <items count="4">
        <item x="2"/>
        <item x="1"/>
        <item x="0"/>
        <item t="default"/>
      </items>
    </pivotField>
    <pivotField showAll="0">
      <items count="15">
        <item x="2"/>
        <item x="3"/>
        <item x="4"/>
        <item x="8"/>
        <item x="1"/>
        <item x="10"/>
        <item x="6"/>
        <item x="0"/>
        <item x="5"/>
        <item x="11"/>
        <item x="7"/>
        <item x="12"/>
        <item x="9"/>
        <item x="13"/>
        <item t="default"/>
      </items>
    </pivotField>
    <pivotField dataField="1" showAll="0"/>
  </pivotFields>
  <rowItems count="1">
    <i/>
  </rowItems>
  <colItems count="1">
    <i/>
  </colItems>
  <dataFields count="1">
    <dataField name="Sum of Units sold" fld="3" baseField="1" baseItem="1" numFmtId="3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id="1" name="tbl_1.1" displayName="tbl_1.1" ref="B8:E16" totalsRowShown="0" headerRowDxfId="108" tableBorderDxfId="107">
  <autoFilter ref="B8:E16">
    <filterColumn colId="0" hiddenButton="1"/>
    <filterColumn colId="1" hiddenButton="1"/>
    <filterColumn colId="2" hiddenButton="1"/>
    <filterColumn colId="3" hiddenButton="1"/>
  </autoFilter>
  <tableColumns count="4">
    <tableColumn id="1" name="Date" dataDxfId="106"/>
    <tableColumn id="2" name="Buyer" dataDxfId="105"/>
    <tableColumn id="3" name="Type" dataDxfId="104"/>
    <tableColumn id="4" name="Amount" dataDxfId="103"/>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2.xml><?xml version="1.0" encoding="utf-8"?>
<table xmlns="http://schemas.openxmlformats.org/spreadsheetml/2006/main" id="18" name="tbl_2.1" displayName="tbl_2.1" ref="B100:E108" totalsRowShown="0" headerRowDxfId="100" tableBorderDxfId="99">
  <autoFilter ref="B100:E108"/>
  <tableColumns count="4">
    <tableColumn id="1" name="Date" dataDxfId="98"/>
    <tableColumn id="2" name="Buyer" dataDxfId="97"/>
    <tableColumn id="3" name="Type" dataDxfId="96"/>
    <tableColumn id="4" name="Amount" dataDxfId="95"/>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3.xml><?xml version="1.0" encoding="utf-8"?>
<table xmlns="http://schemas.openxmlformats.org/spreadsheetml/2006/main" id="19" name="tbl_3.1" displayName="tbl_3.1" ref="B100:E108" totalsRowShown="0" headerRowDxfId="92" tableBorderDxfId="91">
  <autoFilter ref="B100:E108"/>
  <tableColumns count="4">
    <tableColumn id="1" name="Date" dataDxfId="90"/>
    <tableColumn id="2" name="Buyer" dataDxfId="89"/>
    <tableColumn id="3" name="Type" dataDxfId="88"/>
    <tableColumn id="4" name="Amount" dataDxfId="87"/>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4.xml><?xml version="1.0" encoding="utf-8"?>
<table xmlns="http://schemas.openxmlformats.org/spreadsheetml/2006/main" id="20" name="tbl_4.1" displayName="tbl_4.1" ref="B100:E108" totalsRowShown="0" headerRowDxfId="84" tableBorderDxfId="83">
  <autoFilter ref="B100:E108"/>
  <tableColumns count="4">
    <tableColumn id="1" name="Date" dataDxfId="82"/>
    <tableColumn id="2" name="Buyer" dataDxfId="81"/>
    <tableColumn id="3" name="Type" dataDxfId="80"/>
    <tableColumn id="4" name="Amount" dataDxfId="79"/>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5.xml><?xml version="1.0" encoding="utf-8"?>
<table xmlns="http://schemas.openxmlformats.org/spreadsheetml/2006/main" id="15" name="tbl_4.116" displayName="tbl_4.116" ref="B100:E108" totalsRowShown="0">
  <autoFilter ref="B100:E108"/>
  <tableColumns count="4">
    <tableColumn id="1" name="Date" dataDxfId="78"/>
    <tableColumn id="2" name="Buyer"/>
    <tableColumn id="3" name="Type"/>
    <tableColumn id="4" name="Amount"/>
  </tableColumns>
  <tableStyleInfo name="TableStyleMedium3"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6.xml><?xml version="1.0" encoding="utf-8"?>
<table xmlns="http://schemas.openxmlformats.org/spreadsheetml/2006/main" id="22" name="tbl_6.1" displayName="tbl_6.1" ref="B100:E108" totalsRowShown="0">
  <autoFilter ref="B100:E108"/>
  <tableColumns count="4">
    <tableColumn id="1" name="Date" dataDxfId="75"/>
    <tableColumn id="2" name="Buyer"/>
    <tableColumn id="3" name="Type"/>
    <tableColumn id="4" name="Amount"/>
  </tableColumns>
  <tableStyleInfo name="TableStyleMedium3"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7.xml><?xml version="1.0" encoding="utf-8"?>
<table xmlns="http://schemas.openxmlformats.org/spreadsheetml/2006/main" id="6" name="tbl_7.1" displayName="tbl_7.1" ref="B100:E108" totalsRowShown="0" headerRowDxfId="54" tableBorderDxfId="53">
  <autoFilter ref="B100:E108"/>
  <tableColumns count="4">
    <tableColumn id="1" name="Date" dataDxfId="52" dataCellStyle="Date 2"/>
    <tableColumn id="2" name="Buyer" dataDxfId="51"/>
    <tableColumn id="3" name="Type" dataDxfId="50"/>
    <tableColumn id="4" name="Amount" dataDxfId="49" dataCellStyle="Currency 2"/>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8.xml><?xml version="1.0" encoding="utf-8"?>
<table xmlns="http://schemas.openxmlformats.org/spreadsheetml/2006/main" id="7" name="tbl_10.1" displayName="tbl_10.1" ref="B100:E121" totalsRowShown="0" headerRowDxfId="46" tableBorderDxfId="45">
  <autoFilter ref="B100:E121"/>
  <sortState ref="B101:E121">
    <sortCondition ref="C101"/>
  </sortState>
  <tableColumns count="4">
    <tableColumn id="1" name="Date" dataDxfId="44" dataCellStyle="Date"/>
    <tableColumn id="2" name="Buyer" dataDxfId="43"/>
    <tableColumn id="3" name="Type" dataDxfId="42"/>
    <tableColumn id="4" name="Amount" dataDxfId="41" dataCellStyle="Currency 2"/>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9.xml><?xml version="1.0" encoding="utf-8"?>
<table xmlns="http://schemas.openxmlformats.org/spreadsheetml/2006/main" id="8" name="tbl_11.1" displayName="tbl_11.1" ref="B98:E119" totalsRowShown="0" headerRowDxfId="38" tableBorderDxfId="37">
  <autoFilter ref="B98:E119"/>
  <sortState ref="B99:E119">
    <sortCondition ref="C101"/>
  </sortState>
  <tableColumns count="4">
    <tableColumn id="1" name="Date" dataDxfId="36" dataCellStyle="Date"/>
    <tableColumn id="2" name="Buyer" dataDxfId="35"/>
    <tableColumn id="3" name="Type" dataDxfId="34"/>
    <tableColumn id="4" name="Amount" dataDxfId="33" dataCellStyle="Currency 2"/>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10.xml><?xml version="1.0" encoding="utf-8"?>
<table xmlns="http://schemas.openxmlformats.org/spreadsheetml/2006/main" id="9" name="tbl_13.1" displayName="tbl_13.1" ref="B101:E122" totalsRowShown="0" headerRowDxfId="24" dataDxfId="23" tableBorderDxfId="22">
  <autoFilter ref="B101:E122"/>
  <sortState ref="B102:E122">
    <sortCondition ref="C101"/>
  </sortState>
  <tableColumns count="4">
    <tableColumn id="1" name="Date" dataDxfId="21" dataCellStyle="Date"/>
    <tableColumn id="2" name="Buyer" dataDxfId="20"/>
    <tableColumn id="3" name="Type" dataDxfId="19"/>
    <tableColumn id="4" name="Amount" dataDxfId="18" dataCellStyle="Currency 2"/>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11.xml><?xml version="1.0" encoding="utf-8"?>
<table xmlns="http://schemas.openxmlformats.org/spreadsheetml/2006/main" id="10" name="Expenses1281710" displayName="Expenses1281710" ref="B100:E121" totalsRowShown="0" headerRowDxfId="17" tableBorderDxfId="16">
  <autoFilter ref="B100:E121"/>
  <tableColumns count="4">
    <tableColumn id="1" name="Date" dataDxfId="15" dataCellStyle="Date"/>
    <tableColumn id="2" name="Buyer" dataDxfId="14"/>
    <tableColumn id="3" name="Type" dataDxfId="13"/>
    <tableColumn id="4" name="Amount" dataDxfId="12" dataCellStyle="Currency 2"/>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12.xml><?xml version="1.0" encoding="utf-8"?>
<table xmlns="http://schemas.openxmlformats.org/spreadsheetml/2006/main" id="11" name="tbl_15.1" displayName="tbl_15.1" ref="B100:E121" totalsRowShown="0" headerRowDxfId="11" tableBorderDxfId="10">
  <autoFilter ref="B100:E121"/>
  <tableColumns count="4">
    <tableColumn id="1" name="Date" dataDxfId="9" dataCellStyle="Date"/>
    <tableColumn id="2" name="Buyer" dataDxfId="8"/>
    <tableColumn id="3" name="Type" dataDxfId="7"/>
    <tableColumn id="4" name="Amount" dataDxfId="6" dataCellStyle="Currency 2"/>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13.xml><?xml version="1.0" encoding="utf-8"?>
<table xmlns="http://schemas.openxmlformats.org/spreadsheetml/2006/main" id="12" name="tbl_16.1" displayName="tbl_16.1" ref="B95:E107" totalsRowShown="0" headerRowCellStyle="Normal" dataCellStyle="Normal">
  <autoFilter ref="B95:E107"/>
  <tableColumns count="4">
    <tableColumn id="1" name="Month" dataCellStyle="Normal"/>
    <tableColumn id="2" name="Buyer" dataCellStyle="Normal"/>
    <tableColumn id="3" name="Type" dataCellStyle="Normal"/>
    <tableColumn id="4" name="Amount" dataDxfId="5" dataCellStyle="Normal"/>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14.xml><?xml version="1.0" encoding="utf-8"?>
<table xmlns="http://schemas.openxmlformats.org/spreadsheetml/2006/main" id="13" name="tbl_17.1" displayName="tbl_17.1" ref="B98:E146" totalsRowShown="0">
  <tableColumns count="4">
    <tableColumn id="5" name="Buyer"/>
    <tableColumn id="1" name="Season"/>
    <tableColumn id="2" name="Type"/>
    <tableColumn id="4" name="Amount" dataDxfId="2"/>
  </tableColumns>
  <tableStyleInfo name="TableStyleLight14"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15.xml><?xml version="1.0" encoding="utf-8"?>
<table xmlns="http://schemas.openxmlformats.org/spreadsheetml/2006/main" id="14" name="tbl_18.1" displayName="tbl_18.1" ref="B7:E55" totalsRowShown="0">
  <tableColumns count="4">
    <tableColumn id="1" name="Season"/>
    <tableColumn id="2" name="Sales rep"/>
    <tableColumn id="3" name="Product"/>
    <tableColumn id="4" name="Units sold"/>
  </tableColumns>
  <tableStyleInfo name="TableStyleMedium3"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go.microsoft.com/fwlink/?linkid=874800" TargetMode="External"/><Relationship Id="rId1" Type="http://schemas.openxmlformats.org/officeDocument/2006/relationships/pivotTable" Target="../pivotTables/pivotTable1.xml"/><Relationship Id="rId5" Type="http://schemas.openxmlformats.org/officeDocument/2006/relationships/table" Target="../tables/table1.xm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go.microsoft.com/fwlink/?linkid=874801" TargetMode="External"/><Relationship Id="rId1" Type="http://schemas.openxmlformats.org/officeDocument/2006/relationships/pivotTable" Target="../pivotTables/pivotTable2.xml"/><Relationship Id="rId5" Type="http://schemas.openxmlformats.org/officeDocument/2006/relationships/table" Target="../tables/table2.xm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go.microsoft.com/fwlink/?linkid=874803" TargetMode="External"/><Relationship Id="rId1" Type="http://schemas.openxmlformats.org/officeDocument/2006/relationships/pivotTable" Target="../pivotTables/pivotTable3.xml"/><Relationship Id="rId5" Type="http://schemas.openxmlformats.org/officeDocument/2006/relationships/table" Target="../tables/table3.xm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s://go.microsoft.com/fwlink/?linkid=874804" TargetMode="External"/><Relationship Id="rId1" Type="http://schemas.openxmlformats.org/officeDocument/2006/relationships/pivotTable" Target="../pivotTables/pivotTable4.xml"/><Relationship Id="rId5" Type="http://schemas.openxmlformats.org/officeDocument/2006/relationships/table" Target="../tables/table4.xm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https://go.microsoft.com/fwlink/?linkid=874804" TargetMode="External"/><Relationship Id="rId1" Type="http://schemas.openxmlformats.org/officeDocument/2006/relationships/pivotTable" Target="../pivotTables/pivotTable5.xml"/><Relationship Id="rId5" Type="http://schemas.openxmlformats.org/officeDocument/2006/relationships/table" Target="../tables/table5.xm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7.bin"/><Relationship Id="rId1" Type="http://schemas.openxmlformats.org/officeDocument/2006/relationships/hyperlink" Target="https://go.microsoft.com/fwlink/?linkid=874805" TargetMode="External"/></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https://go.microsoft.com/fwlink/?linkid=874806" TargetMode="External"/><Relationship Id="rId1" Type="http://schemas.openxmlformats.org/officeDocument/2006/relationships/pivotTable" Target="../pivotTables/pivotTable6.xml"/><Relationship Id="rId5" Type="http://schemas.openxmlformats.org/officeDocument/2006/relationships/table" Target="../tables/table6.xml"/><Relationship Id="rId4"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hyperlink" Target="https://go.microsoft.com/fwlink/?linkid=874807" TargetMode="External"/><Relationship Id="rId1" Type="http://schemas.openxmlformats.org/officeDocument/2006/relationships/pivotTable" Target="../pivotTables/pivotTable7.xml"/><Relationship Id="rId5" Type="http://schemas.openxmlformats.org/officeDocument/2006/relationships/table" Target="../tables/table7.xml"/><Relationship Id="rId4"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10.bin"/><Relationship Id="rId1" Type="http://schemas.openxmlformats.org/officeDocument/2006/relationships/hyperlink" Target="https://go.microsoft.com/fwlink/?linkid=874809" TargetMode="Externa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11.bin"/><Relationship Id="rId1" Type="http://schemas.openxmlformats.org/officeDocument/2006/relationships/hyperlink" Target="https://go.microsoft.com/fwlink/?linkid=874810" TargetMode="External"/></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hyperlink" Target="https://go.microsoft.com/fwlink/?linkid=874811" TargetMode="External"/><Relationship Id="rId1" Type="http://schemas.openxmlformats.org/officeDocument/2006/relationships/pivotTable" Target="../pivotTables/pivotTable8.xml"/><Relationship Id="rId5" Type="http://schemas.openxmlformats.org/officeDocument/2006/relationships/table" Target="../tables/table8.xml"/><Relationship Id="rId4"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3" Type="http://schemas.openxmlformats.org/officeDocument/2006/relationships/printerSettings" Target="../printerSettings/printerSettings13.bin"/><Relationship Id="rId2" Type="http://schemas.openxmlformats.org/officeDocument/2006/relationships/hyperlink" Target="https://go.microsoft.com/fwlink/?linkid=874812" TargetMode="External"/><Relationship Id="rId1" Type="http://schemas.openxmlformats.org/officeDocument/2006/relationships/pivotTable" Target="../pivotTables/pivotTable9.xml"/><Relationship Id="rId5" Type="http://schemas.openxmlformats.org/officeDocument/2006/relationships/table" Target="../tables/table9.xml"/><Relationship Id="rId4"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14.xml"/><Relationship Id="rId2" Type="http://schemas.openxmlformats.org/officeDocument/2006/relationships/printerSettings" Target="../printerSettings/printerSettings14.bin"/><Relationship Id="rId1" Type="http://schemas.openxmlformats.org/officeDocument/2006/relationships/hyperlink" Target="https://go.microsoft.com/fwlink/?linkid=874813" TargetMode="External"/></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15.bin"/><Relationship Id="rId2" Type="http://schemas.openxmlformats.org/officeDocument/2006/relationships/hyperlink" Target="https://go.microsoft.com/fwlink/?linkid=874815" TargetMode="External"/><Relationship Id="rId1" Type="http://schemas.openxmlformats.org/officeDocument/2006/relationships/pivotTable" Target="../pivotTables/pivotTable10.xml"/><Relationship Id="rId5" Type="http://schemas.openxmlformats.org/officeDocument/2006/relationships/table" Target="../tables/table10.xml"/><Relationship Id="rId4"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16.bin"/><Relationship Id="rId2" Type="http://schemas.openxmlformats.org/officeDocument/2006/relationships/hyperlink" Target="https://go.microsoft.com/fwlink/?linkid=874816" TargetMode="External"/><Relationship Id="rId1" Type="http://schemas.openxmlformats.org/officeDocument/2006/relationships/pivotTable" Target="../pivotTables/pivotTable11.xml"/><Relationship Id="rId5" Type="http://schemas.openxmlformats.org/officeDocument/2006/relationships/table" Target="../tables/table11.xml"/><Relationship Id="rId4"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3" Type="http://schemas.openxmlformats.org/officeDocument/2006/relationships/printerSettings" Target="../printerSettings/printerSettings17.bin"/><Relationship Id="rId2" Type="http://schemas.openxmlformats.org/officeDocument/2006/relationships/hyperlink" Target="https://go.microsoft.com/fwlink/?linkid=874817" TargetMode="External"/><Relationship Id="rId1" Type="http://schemas.openxmlformats.org/officeDocument/2006/relationships/pivotTable" Target="../pivotTables/pivotTable12.xml"/><Relationship Id="rId5" Type="http://schemas.openxmlformats.org/officeDocument/2006/relationships/table" Target="../tables/table12.xml"/><Relationship Id="rId4"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3" Type="http://schemas.openxmlformats.org/officeDocument/2006/relationships/printerSettings" Target="../printerSettings/printerSettings18.bin"/><Relationship Id="rId2" Type="http://schemas.openxmlformats.org/officeDocument/2006/relationships/hyperlink" Target="https://go.microsoft.com/fwlink/?linkid=874818" TargetMode="External"/><Relationship Id="rId1" Type="http://schemas.openxmlformats.org/officeDocument/2006/relationships/pivotTable" Target="../pivotTables/pivotTable13.xml"/><Relationship Id="rId5" Type="http://schemas.openxmlformats.org/officeDocument/2006/relationships/table" Target="../tables/table13.xml"/><Relationship Id="rId4"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3" Type="http://schemas.openxmlformats.org/officeDocument/2006/relationships/printerSettings" Target="../printerSettings/printerSettings19.bin"/><Relationship Id="rId2" Type="http://schemas.openxmlformats.org/officeDocument/2006/relationships/hyperlink" Target="https://go.microsoft.com/fwlink/?linkid=874819" TargetMode="External"/><Relationship Id="rId1" Type="http://schemas.openxmlformats.org/officeDocument/2006/relationships/pivotTable" Target="../pivotTables/pivotTable14.xml"/><Relationship Id="rId5" Type="http://schemas.openxmlformats.org/officeDocument/2006/relationships/table" Target="../tables/table14.xml"/><Relationship Id="rId4"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3" Type="http://schemas.openxmlformats.org/officeDocument/2006/relationships/drawing" Target="../drawings/drawing20.xml"/><Relationship Id="rId2" Type="http://schemas.openxmlformats.org/officeDocument/2006/relationships/printerSettings" Target="../printerSettings/printerSettings20.bin"/><Relationship Id="rId1" Type="http://schemas.openxmlformats.org/officeDocument/2006/relationships/hyperlink" Target="https://go.microsoft.com/fwlink/?linkid=874820" TargetMode="External"/><Relationship Id="rId4" Type="http://schemas.openxmlformats.org/officeDocument/2006/relationships/table" Target="../tables/table15.xml"/></Relationships>
</file>

<file path=xl/worksheets/_rels/sheet21.xml.rels><?xml version="1.0" encoding="UTF-8" standalone="yes"?>
<Relationships xmlns="http://schemas.openxmlformats.org/package/2006/relationships"><Relationship Id="rId3" Type="http://schemas.openxmlformats.org/officeDocument/2006/relationships/printerSettings" Target="../printerSettings/printerSettings21.bin"/><Relationship Id="rId2" Type="http://schemas.openxmlformats.org/officeDocument/2006/relationships/hyperlink" Target="https://go.microsoft.com/fwlink/?linkid=874821" TargetMode="External"/><Relationship Id="rId1" Type="http://schemas.openxmlformats.org/officeDocument/2006/relationships/pivotTable" Target="../pivotTables/pivotTable15.xml"/><Relationship Id="rId4"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3" Type="http://schemas.openxmlformats.org/officeDocument/2006/relationships/printerSettings" Target="../printerSettings/printerSettings22.bin"/><Relationship Id="rId2" Type="http://schemas.openxmlformats.org/officeDocument/2006/relationships/hyperlink" Target="https://go.microsoft.com/fwlink/?linkid=874822" TargetMode="External"/><Relationship Id="rId1" Type="http://schemas.openxmlformats.org/officeDocument/2006/relationships/pivotTable" Target="../pivotTables/pivotTable16.xml"/><Relationship Id="rId4"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3" Type="http://schemas.openxmlformats.org/officeDocument/2006/relationships/printerSettings" Target="../printerSettings/printerSettings23.bin"/><Relationship Id="rId2" Type="http://schemas.openxmlformats.org/officeDocument/2006/relationships/hyperlink" Target="https://go.microsoft.com/fwlink/?linkid=874822" TargetMode="External"/><Relationship Id="rId1" Type="http://schemas.openxmlformats.org/officeDocument/2006/relationships/pivotTable" Target="../pivotTables/pivotTable17.xml"/><Relationship Id="rId4"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3" Type="http://schemas.openxmlformats.org/officeDocument/2006/relationships/printerSettings" Target="../printerSettings/printerSettings24.bin"/><Relationship Id="rId2" Type="http://schemas.openxmlformats.org/officeDocument/2006/relationships/hyperlink" Target="https://go.microsoft.com/fwlink/?linkid=875099" TargetMode="External"/><Relationship Id="rId1" Type="http://schemas.openxmlformats.org/officeDocument/2006/relationships/pivotTable" Target="../pivotTables/pivotTable18.xml"/><Relationship Id="rId4"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3" Type="http://schemas.openxmlformats.org/officeDocument/2006/relationships/printerSettings" Target="../printerSettings/printerSettings25.bin"/><Relationship Id="rId2" Type="http://schemas.openxmlformats.org/officeDocument/2006/relationships/hyperlink" Target="https://go.microsoft.com/fwlink/?linkid=875100" TargetMode="External"/><Relationship Id="rId1" Type="http://schemas.openxmlformats.org/officeDocument/2006/relationships/pivotTable" Target="../pivotTables/pivotTable19.xml"/><Relationship Id="rId4"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3" Type="http://schemas.openxmlformats.org/officeDocument/2006/relationships/hyperlink" Target="https://go.microsoft.com/fwlink/?linkid=874827" TargetMode="External"/><Relationship Id="rId2" Type="http://schemas.openxmlformats.org/officeDocument/2006/relationships/hyperlink" Target="https://go.microsoft.com/fwlink/?linkid=874826" TargetMode="External"/><Relationship Id="rId1" Type="http://schemas.openxmlformats.org/officeDocument/2006/relationships/hyperlink" Target="https://go.microsoft.com/fwlink/?linkid=874825" TargetMode="External"/><Relationship Id="rId6" Type="http://schemas.openxmlformats.org/officeDocument/2006/relationships/drawing" Target="../drawings/drawing26.xml"/><Relationship Id="rId5" Type="http://schemas.openxmlformats.org/officeDocument/2006/relationships/printerSettings" Target="../printerSettings/printerSettings26.bin"/><Relationship Id="rId4" Type="http://schemas.openxmlformats.org/officeDocument/2006/relationships/hyperlink" Target="https://go.microsoft.com/fwlink/?linkid=87482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ws_Start">
    <tabColor theme="9"/>
    <pageSetUpPr autoPageBreaks="0"/>
  </sheetPr>
  <dimension ref="A1:A5"/>
  <sheetViews>
    <sheetView showGridLines="0" showRowColHeaders="0" workbookViewId="0"/>
  </sheetViews>
  <sheetFormatPr defaultColWidth="11.140625" defaultRowHeight="15" customHeight="1" x14ac:dyDescent="0.25"/>
  <cols>
    <col min="1" max="1" width="115.5703125" style="2" customWidth="1"/>
    <col min="2" max="2" width="3.5703125" style="2" customWidth="1"/>
    <col min="3" max="16384" width="11.140625" style="2"/>
  </cols>
  <sheetData>
    <row r="1" spans="1:1" ht="15" customHeight="1" x14ac:dyDescent="0.25">
      <c r="A1" s="1" t="s">
        <v>92</v>
      </c>
    </row>
    <row r="2" spans="1:1" ht="62.25" x14ac:dyDescent="1">
      <c r="A2" s="3" t="s">
        <v>0</v>
      </c>
    </row>
    <row r="3" spans="1:1" ht="67.5" x14ac:dyDescent="0.35">
      <c r="A3" s="4" t="s">
        <v>91</v>
      </c>
    </row>
    <row r="4" spans="1:1" ht="189.95" customHeight="1" x14ac:dyDescent="0.25">
      <c r="A4" s="5" t="s">
        <v>1</v>
      </c>
    </row>
    <row r="5" spans="1:1" ht="15" customHeight="1" x14ac:dyDescent="0.25">
      <c r="A5" s="5" t="s">
        <v>129</v>
      </c>
    </row>
  </sheetData>
  <pageMargins left="0.7" right="0.7" top="0.75" bottom="0.75" header="0.3" footer="0.3"/>
  <pageSetup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S19"/>
  <sheetViews>
    <sheetView showGridLines="0" workbookViewId="0"/>
  </sheetViews>
  <sheetFormatPr defaultColWidth="9.140625" defaultRowHeight="15" x14ac:dyDescent="0.25"/>
  <cols>
    <col min="1" max="1" width="9.140625" style="6" customWidth="1"/>
    <col min="2" max="6" width="9.140625" style="7"/>
    <col min="7" max="7" width="10.7109375" style="7" bestFit="1" customWidth="1"/>
    <col min="8" max="8" width="11.28515625" style="7" bestFit="1" customWidth="1"/>
    <col min="9" max="9" width="14.85546875" style="7" bestFit="1" customWidth="1"/>
    <col min="10" max="10" width="8.85546875" style="7" customWidth="1"/>
    <col min="11" max="16384" width="9.140625" style="7"/>
  </cols>
  <sheetData>
    <row r="1" spans="1:19" x14ac:dyDescent="0.25">
      <c r="A1" s="6" t="s">
        <v>90</v>
      </c>
    </row>
    <row r="2" spans="1:19" x14ac:dyDescent="0.25">
      <c r="A2" s="48" t="s">
        <v>95</v>
      </c>
    </row>
    <row r="3" spans="1:19" x14ac:dyDescent="0.25">
      <c r="A3" s="47" t="s">
        <v>94</v>
      </c>
    </row>
    <row r="4" spans="1:19" x14ac:dyDescent="0.25">
      <c r="A4" s="59" t="s">
        <v>128</v>
      </c>
    </row>
    <row r="8" spans="1:19" x14ac:dyDescent="0.25">
      <c r="B8" s="8" t="s">
        <v>4</v>
      </c>
      <c r="C8" s="8" t="s">
        <v>5</v>
      </c>
      <c r="D8" s="8" t="s">
        <v>6</v>
      </c>
      <c r="E8" s="8" t="s">
        <v>7</v>
      </c>
    </row>
    <row r="9" spans="1:19" x14ac:dyDescent="0.25">
      <c r="A9" s="6" t="s">
        <v>2</v>
      </c>
      <c r="B9" s="9">
        <v>42736</v>
      </c>
      <c r="C9" s="10" t="s">
        <v>9</v>
      </c>
      <c r="D9" s="37" t="s">
        <v>93</v>
      </c>
      <c r="E9" s="11">
        <v>95</v>
      </c>
    </row>
    <row r="10" spans="1:19" x14ac:dyDescent="0.25">
      <c r="A10" s="6" t="s">
        <v>3</v>
      </c>
      <c r="B10" s="12">
        <v>42750</v>
      </c>
      <c r="C10" s="13" t="s">
        <v>11</v>
      </c>
      <c r="D10" s="13" t="s">
        <v>12</v>
      </c>
      <c r="E10" s="14">
        <v>325</v>
      </c>
      <c r="H10" s="28" t="s">
        <v>5</v>
      </c>
      <c r="I10" t="s">
        <v>8</v>
      </c>
    </row>
    <row r="11" spans="1:19" x14ac:dyDescent="0.25">
      <c r="B11" s="9">
        <v>42752</v>
      </c>
      <c r="C11" s="37" t="s">
        <v>11</v>
      </c>
      <c r="D11" s="37" t="s">
        <v>18</v>
      </c>
      <c r="E11" s="11">
        <v>250</v>
      </c>
      <c r="H11" t="s">
        <v>9</v>
      </c>
      <c r="I11" s="30">
        <v>220</v>
      </c>
      <c r="P11"/>
      <c r="Q11"/>
      <c r="R11"/>
      <c r="S11"/>
    </row>
    <row r="12" spans="1:19" x14ac:dyDescent="0.25">
      <c r="B12" s="12">
        <v>42756</v>
      </c>
      <c r="C12" s="38" t="s">
        <v>9</v>
      </c>
      <c r="D12" s="38" t="s">
        <v>12</v>
      </c>
      <c r="E12" s="14">
        <v>125</v>
      </c>
      <c r="H12" t="s">
        <v>13</v>
      </c>
      <c r="I12" s="30">
        <v>270</v>
      </c>
      <c r="P12"/>
      <c r="Q12"/>
      <c r="R12"/>
      <c r="S12"/>
    </row>
    <row r="13" spans="1:19" x14ac:dyDescent="0.25">
      <c r="B13" s="9">
        <v>42768</v>
      </c>
      <c r="C13" s="10" t="s">
        <v>11</v>
      </c>
      <c r="D13" s="10" t="s">
        <v>12</v>
      </c>
      <c r="E13" s="11">
        <v>235</v>
      </c>
      <c r="H13" t="s">
        <v>11</v>
      </c>
      <c r="I13" s="30">
        <v>810</v>
      </c>
      <c r="P13"/>
      <c r="Q13"/>
      <c r="R13"/>
      <c r="S13"/>
    </row>
    <row r="14" spans="1:19" x14ac:dyDescent="0.25">
      <c r="B14" s="12">
        <v>42786</v>
      </c>
      <c r="C14" s="13" t="s">
        <v>13</v>
      </c>
      <c r="D14" s="13" t="s">
        <v>17</v>
      </c>
      <c r="E14" s="14">
        <v>20</v>
      </c>
      <c r="H14" t="s">
        <v>16</v>
      </c>
      <c r="I14" s="30">
        <v>1300</v>
      </c>
      <c r="P14"/>
      <c r="Q14"/>
      <c r="R14"/>
      <c r="S14"/>
    </row>
    <row r="15" spans="1:19" x14ac:dyDescent="0.25">
      <c r="B15" s="9">
        <v>42791</v>
      </c>
      <c r="C15" s="10" t="s">
        <v>13</v>
      </c>
      <c r="D15" s="10" t="s">
        <v>18</v>
      </c>
      <c r="E15" s="11">
        <v>125</v>
      </c>
      <c r="P15"/>
      <c r="Q15"/>
      <c r="R15"/>
      <c r="S15"/>
    </row>
    <row r="16" spans="1:19" x14ac:dyDescent="0.25">
      <c r="B16" s="12">
        <v>42791</v>
      </c>
      <c r="C16" t="s">
        <v>13</v>
      </c>
      <c r="D16" t="s">
        <v>14</v>
      </c>
      <c r="E16" s="14">
        <v>125</v>
      </c>
      <c r="P16"/>
      <c r="Q16"/>
      <c r="R16"/>
      <c r="S16"/>
    </row>
    <row r="17" spans="16:19" x14ac:dyDescent="0.25">
      <c r="P17"/>
      <c r="Q17"/>
      <c r="R17"/>
      <c r="S17"/>
    </row>
    <row r="18" spans="16:19" x14ac:dyDescent="0.25">
      <c r="P18"/>
      <c r="Q18"/>
      <c r="R18"/>
      <c r="S18"/>
    </row>
    <row r="19" spans="16:19" x14ac:dyDescent="0.25">
      <c r="P19"/>
      <c r="Q19"/>
      <c r="R19"/>
      <c r="S19"/>
    </row>
  </sheetData>
  <hyperlinks>
    <hyperlink ref="A4" r:id="rId2"/>
  </hyperlinks>
  <pageMargins left="0.7" right="0.7" top="0.75" bottom="0.75" header="0.3" footer="0.3"/>
  <pageSetup orientation="portrait" r:id="rId3"/>
  <drawing r:id="rId4"/>
  <tableParts count="1">
    <tablePart r:id="rId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dimension ref="A1:M108"/>
  <sheetViews>
    <sheetView showGridLines="0" workbookViewId="0"/>
  </sheetViews>
  <sheetFormatPr defaultColWidth="9.140625" defaultRowHeight="15" x14ac:dyDescent="0.25"/>
  <cols>
    <col min="1" max="1" width="9.140625" style="6"/>
    <col min="2" max="4" width="9.140625" style="7"/>
    <col min="5" max="5" width="8.42578125" style="7" bestFit="1" customWidth="1"/>
    <col min="6" max="6" width="11.28515625" style="7" bestFit="1" customWidth="1"/>
    <col min="7" max="8" width="14.85546875" style="7" bestFit="1" customWidth="1"/>
    <col min="9" max="9" width="14.42578125" style="7" bestFit="1" customWidth="1"/>
    <col min="10" max="10" width="8.85546875" style="7" customWidth="1"/>
    <col min="11" max="16384" width="9.140625" style="7"/>
  </cols>
  <sheetData>
    <row r="1" spans="1:13" x14ac:dyDescent="0.25">
      <c r="A1" s="6" t="s">
        <v>19</v>
      </c>
    </row>
    <row r="2" spans="1:13" x14ac:dyDescent="0.25">
      <c r="A2" s="6" t="s">
        <v>97</v>
      </c>
    </row>
    <row r="3" spans="1:13" x14ac:dyDescent="0.25">
      <c r="A3" s="6" t="s">
        <v>99</v>
      </c>
    </row>
    <row r="4" spans="1:13" x14ac:dyDescent="0.25">
      <c r="A4" s="47" t="s">
        <v>94</v>
      </c>
    </row>
    <row r="5" spans="1:13" ht="14.25" customHeight="1" x14ac:dyDescent="0.25">
      <c r="A5" s="60" t="s">
        <v>128</v>
      </c>
    </row>
    <row r="6" spans="1:13" ht="14.25" customHeight="1" x14ac:dyDescent="0.25"/>
    <row r="9" spans="1:13" x14ac:dyDescent="0.25">
      <c r="L9"/>
      <c r="M9" s="15"/>
    </row>
    <row r="10" spans="1:13" x14ac:dyDescent="0.25">
      <c r="K10" s="15"/>
    </row>
    <row r="11" spans="1:13" x14ac:dyDescent="0.25">
      <c r="F11" s="28" t="s">
        <v>5</v>
      </c>
      <c r="G11" t="s">
        <v>8</v>
      </c>
      <c r="L11" s="15"/>
    </row>
    <row r="12" spans="1:13" x14ac:dyDescent="0.25">
      <c r="F12" t="s">
        <v>9</v>
      </c>
      <c r="G12" s="30">
        <v>220</v>
      </c>
    </row>
    <row r="13" spans="1:13" x14ac:dyDescent="0.25">
      <c r="F13" t="s">
        <v>13</v>
      </c>
      <c r="G13" s="30">
        <v>270</v>
      </c>
    </row>
    <row r="14" spans="1:13" x14ac:dyDescent="0.25">
      <c r="F14" t="s">
        <v>11</v>
      </c>
      <c r="G14" s="30">
        <v>810</v>
      </c>
    </row>
    <row r="15" spans="1:13" x14ac:dyDescent="0.25">
      <c r="F15" t="s">
        <v>16</v>
      </c>
      <c r="G15" s="30">
        <v>1300</v>
      </c>
    </row>
    <row r="100" spans="2:5" x14ac:dyDescent="0.25">
      <c r="B100" s="8" t="s">
        <v>4</v>
      </c>
      <c r="C100" s="8" t="s">
        <v>5</v>
      </c>
      <c r="D100" s="8" t="s">
        <v>6</v>
      </c>
      <c r="E100" s="8" t="s">
        <v>7</v>
      </c>
    </row>
    <row r="101" spans="2:5" x14ac:dyDescent="0.25">
      <c r="B101" s="9">
        <v>42736</v>
      </c>
      <c r="C101" s="10" t="s">
        <v>9</v>
      </c>
      <c r="D101" s="37" t="s">
        <v>93</v>
      </c>
      <c r="E101" s="11">
        <v>95</v>
      </c>
    </row>
    <row r="102" spans="2:5" x14ac:dyDescent="0.25">
      <c r="B102" s="12">
        <v>42750</v>
      </c>
      <c r="C102" s="13" t="s">
        <v>11</v>
      </c>
      <c r="D102" s="13" t="s">
        <v>12</v>
      </c>
      <c r="E102" s="14">
        <v>325</v>
      </c>
    </row>
    <row r="103" spans="2:5" x14ac:dyDescent="0.25">
      <c r="B103" s="9">
        <v>42752</v>
      </c>
      <c r="C103" s="37" t="s">
        <v>11</v>
      </c>
      <c r="D103" s="37" t="s">
        <v>18</v>
      </c>
      <c r="E103" s="11">
        <v>250</v>
      </c>
    </row>
    <row r="104" spans="2:5" x14ac:dyDescent="0.25">
      <c r="B104" s="12">
        <v>42756</v>
      </c>
      <c r="C104" s="38" t="s">
        <v>9</v>
      </c>
      <c r="D104" s="38" t="s">
        <v>12</v>
      </c>
      <c r="E104" s="14">
        <v>125</v>
      </c>
    </row>
    <row r="105" spans="2:5" x14ac:dyDescent="0.25">
      <c r="B105" s="9">
        <v>42768</v>
      </c>
      <c r="C105" s="10" t="s">
        <v>11</v>
      </c>
      <c r="D105" s="10" t="s">
        <v>12</v>
      </c>
      <c r="E105" s="11">
        <v>235</v>
      </c>
    </row>
    <row r="106" spans="2:5" x14ac:dyDescent="0.25">
      <c r="B106" s="12">
        <v>42786</v>
      </c>
      <c r="C106" s="13" t="s">
        <v>13</v>
      </c>
      <c r="D106" s="13" t="s">
        <v>17</v>
      </c>
      <c r="E106" s="14">
        <v>20</v>
      </c>
    </row>
    <row r="107" spans="2:5" x14ac:dyDescent="0.25">
      <c r="B107" s="9">
        <v>42791</v>
      </c>
      <c r="C107" s="10" t="s">
        <v>13</v>
      </c>
      <c r="D107" s="10" t="s">
        <v>18</v>
      </c>
      <c r="E107" s="11">
        <v>125</v>
      </c>
    </row>
    <row r="108" spans="2:5" x14ac:dyDescent="0.25">
      <c r="B108" s="12">
        <v>42791</v>
      </c>
      <c r="C108" t="s">
        <v>13</v>
      </c>
      <c r="D108" t="s">
        <v>14</v>
      </c>
      <c r="E108" s="14">
        <v>125</v>
      </c>
    </row>
  </sheetData>
  <hyperlinks>
    <hyperlink ref="A5" r:id="rId2"/>
  </hyperlinks>
  <pageMargins left="0.7" right="0.7" top="0.75" bottom="0.75" header="0.3" footer="0.3"/>
  <pageSetup orientation="portrait" r:id="rId3"/>
  <drawing r:id="rId4"/>
  <tableParts count="1">
    <tablePart r:id="rId5"/>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dimension ref="A1:G108"/>
  <sheetViews>
    <sheetView showGridLines="0" workbookViewId="0"/>
  </sheetViews>
  <sheetFormatPr defaultColWidth="9.140625" defaultRowHeight="15" x14ac:dyDescent="0.25"/>
  <cols>
    <col min="1" max="1" width="9.140625" style="6"/>
    <col min="2" max="4" width="9.140625" style="7"/>
    <col min="5" max="5" width="8.42578125" style="7" bestFit="1" customWidth="1"/>
    <col min="6" max="6" width="11.28515625" style="7" bestFit="1" customWidth="1"/>
    <col min="7" max="8" width="14.85546875" style="7" bestFit="1" customWidth="1"/>
    <col min="9" max="9" width="14.42578125" style="7" bestFit="1" customWidth="1"/>
    <col min="10" max="10" width="8.85546875" style="7" customWidth="1"/>
    <col min="11" max="16384" width="9.140625" style="7"/>
  </cols>
  <sheetData>
    <row r="1" spans="1:7" x14ac:dyDescent="0.25">
      <c r="A1" s="6" t="s">
        <v>21</v>
      </c>
    </row>
    <row r="2" spans="1:7" x14ac:dyDescent="0.25">
      <c r="A2" s="6" t="s">
        <v>20</v>
      </c>
    </row>
    <row r="3" spans="1:7" x14ac:dyDescent="0.25">
      <c r="A3" s="6" t="s">
        <v>98</v>
      </c>
    </row>
    <row r="4" spans="1:7" x14ac:dyDescent="0.25">
      <c r="A4" s="47" t="s">
        <v>94</v>
      </c>
    </row>
    <row r="5" spans="1:7" ht="14.25" customHeight="1" x14ac:dyDescent="0.25">
      <c r="A5" s="60" t="s">
        <v>128</v>
      </c>
    </row>
    <row r="6" spans="1:7" ht="14.25" customHeight="1" x14ac:dyDescent="0.25"/>
    <row r="11" spans="1:7" x14ac:dyDescent="0.25">
      <c r="F11" s="28" t="s">
        <v>5</v>
      </c>
      <c r="G11" t="s">
        <v>8</v>
      </c>
    </row>
    <row r="12" spans="1:7" x14ac:dyDescent="0.25">
      <c r="F12" t="s">
        <v>9</v>
      </c>
      <c r="G12" s="30">
        <v>220</v>
      </c>
    </row>
    <row r="13" spans="1:7" x14ac:dyDescent="0.25">
      <c r="F13" t="s">
        <v>13</v>
      </c>
      <c r="G13" s="30">
        <v>270</v>
      </c>
    </row>
    <row r="14" spans="1:7" x14ac:dyDescent="0.25">
      <c r="F14" t="s">
        <v>11</v>
      </c>
      <c r="G14" s="30">
        <v>810</v>
      </c>
    </row>
    <row r="15" spans="1:7" x14ac:dyDescent="0.25">
      <c r="F15" t="s">
        <v>16</v>
      </c>
      <c r="G15" s="30">
        <v>1300</v>
      </c>
    </row>
    <row r="100" spans="2:5" x14ac:dyDescent="0.25">
      <c r="B100" s="8" t="s">
        <v>4</v>
      </c>
      <c r="C100" s="8" t="s">
        <v>5</v>
      </c>
      <c r="D100" s="8" t="s">
        <v>6</v>
      </c>
      <c r="E100" s="8" t="s">
        <v>7</v>
      </c>
    </row>
    <row r="101" spans="2:5" x14ac:dyDescent="0.25">
      <c r="B101" s="9">
        <v>42736</v>
      </c>
      <c r="C101" s="10" t="s">
        <v>9</v>
      </c>
      <c r="D101" s="37" t="s">
        <v>93</v>
      </c>
      <c r="E101" s="11">
        <v>95</v>
      </c>
    </row>
    <row r="102" spans="2:5" x14ac:dyDescent="0.25">
      <c r="B102" s="12">
        <v>42750</v>
      </c>
      <c r="C102" s="13" t="s">
        <v>11</v>
      </c>
      <c r="D102" s="13" t="s">
        <v>12</v>
      </c>
      <c r="E102" s="14">
        <v>325</v>
      </c>
    </row>
    <row r="103" spans="2:5" x14ac:dyDescent="0.25">
      <c r="B103" s="9">
        <v>42752</v>
      </c>
      <c r="C103" s="37" t="s">
        <v>11</v>
      </c>
      <c r="D103" s="37" t="s">
        <v>18</v>
      </c>
      <c r="E103" s="11">
        <v>250</v>
      </c>
    </row>
    <row r="104" spans="2:5" x14ac:dyDescent="0.25">
      <c r="B104" s="12">
        <v>42756</v>
      </c>
      <c r="C104" s="38" t="s">
        <v>9</v>
      </c>
      <c r="D104" s="38" t="s">
        <v>12</v>
      </c>
      <c r="E104" s="14">
        <v>125</v>
      </c>
    </row>
    <row r="105" spans="2:5" x14ac:dyDescent="0.25">
      <c r="B105" s="9">
        <v>42768</v>
      </c>
      <c r="C105" s="10" t="s">
        <v>11</v>
      </c>
      <c r="D105" s="10" t="s">
        <v>12</v>
      </c>
      <c r="E105" s="11">
        <v>235</v>
      </c>
    </row>
    <row r="106" spans="2:5" x14ac:dyDescent="0.25">
      <c r="B106" s="12">
        <v>42786</v>
      </c>
      <c r="C106" s="13" t="s">
        <v>13</v>
      </c>
      <c r="D106" s="13" t="s">
        <v>17</v>
      </c>
      <c r="E106" s="14">
        <v>20</v>
      </c>
    </row>
    <row r="107" spans="2:5" x14ac:dyDescent="0.25">
      <c r="B107" s="9">
        <v>42791</v>
      </c>
      <c r="C107" s="10" t="s">
        <v>13</v>
      </c>
      <c r="D107" s="10" t="s">
        <v>18</v>
      </c>
      <c r="E107" s="11">
        <v>125</v>
      </c>
    </row>
    <row r="108" spans="2:5" x14ac:dyDescent="0.25">
      <c r="B108" s="12">
        <v>42791</v>
      </c>
      <c r="C108" t="s">
        <v>13</v>
      </c>
      <c r="D108" t="s">
        <v>14</v>
      </c>
      <c r="E108" s="14">
        <v>125</v>
      </c>
    </row>
  </sheetData>
  <hyperlinks>
    <hyperlink ref="A5" r:id="rId2"/>
  </hyperlinks>
  <pageMargins left="0.7" right="0.7" top="0.75" bottom="0.75" header="0.3" footer="0.3"/>
  <pageSetup orientation="portrait" r:id="rId3"/>
  <drawing r:id="rId4"/>
  <tableParts count="1">
    <tablePart r:id="rId5"/>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dimension ref="A1:J108"/>
  <sheetViews>
    <sheetView showGridLines="0" workbookViewId="0"/>
  </sheetViews>
  <sheetFormatPr defaultColWidth="9.140625" defaultRowHeight="15" x14ac:dyDescent="0.25"/>
  <cols>
    <col min="1" max="1" width="9.140625" style="6"/>
    <col min="2" max="2" width="9.140625" style="7"/>
    <col min="3" max="3" width="14.85546875" style="7" bestFit="1" customWidth="1"/>
    <col min="4" max="8" width="7.5703125" style="7" bestFit="1" customWidth="1"/>
    <col min="9" max="10" width="11.28515625" style="7" bestFit="1" customWidth="1"/>
    <col min="11" max="16384" width="9.140625" style="7"/>
  </cols>
  <sheetData>
    <row r="1" spans="1:10" x14ac:dyDescent="0.25">
      <c r="A1" s="6" t="s">
        <v>100</v>
      </c>
    </row>
    <row r="2" spans="1:10" x14ac:dyDescent="0.25">
      <c r="A2" s="6" t="s">
        <v>96</v>
      </c>
    </row>
    <row r="3" spans="1:10" x14ac:dyDescent="0.25">
      <c r="A3" s="6" t="s">
        <v>101</v>
      </c>
    </row>
    <row r="4" spans="1:10" x14ac:dyDescent="0.25">
      <c r="A4" s="47" t="s">
        <v>94</v>
      </c>
    </row>
    <row r="5" spans="1:10" x14ac:dyDescent="0.25">
      <c r="A5" s="60" t="s">
        <v>128</v>
      </c>
    </row>
    <row r="7" spans="1:10" ht="18.75" x14ac:dyDescent="0.3">
      <c r="C7" s="16"/>
    </row>
    <row r="10" spans="1:10" x14ac:dyDescent="0.25">
      <c r="C10" s="28" t="s">
        <v>8</v>
      </c>
      <c r="D10" s="28" t="s">
        <v>6</v>
      </c>
      <c r="E10"/>
      <c r="F10"/>
      <c r="G10"/>
      <c r="H10"/>
      <c r="I10"/>
      <c r="J10"/>
    </row>
    <row r="11" spans="1:10" x14ac:dyDescent="0.25">
      <c r="C11" s="28" t="s">
        <v>5</v>
      </c>
      <c r="D11" t="s">
        <v>12</v>
      </c>
      <c r="E11" t="s">
        <v>17</v>
      </c>
      <c r="F11" t="s">
        <v>14</v>
      </c>
      <c r="G11" t="s">
        <v>18</v>
      </c>
      <c r="H11" t="s">
        <v>93</v>
      </c>
      <c r="I11" t="s">
        <v>16</v>
      </c>
      <c r="J11"/>
    </row>
    <row r="12" spans="1:10" x14ac:dyDescent="0.25">
      <c r="C12" t="s">
        <v>9</v>
      </c>
      <c r="D12" s="30">
        <v>125</v>
      </c>
      <c r="E12" s="30"/>
      <c r="F12" s="30"/>
      <c r="G12" s="30"/>
      <c r="H12" s="30">
        <v>95</v>
      </c>
      <c r="I12" s="30">
        <v>220</v>
      </c>
      <c r="J12"/>
    </row>
    <row r="13" spans="1:10" x14ac:dyDescent="0.25">
      <c r="C13" t="s">
        <v>13</v>
      </c>
      <c r="D13" s="30"/>
      <c r="E13" s="30">
        <v>20</v>
      </c>
      <c r="F13" s="30">
        <v>125</v>
      </c>
      <c r="G13" s="30">
        <v>125</v>
      </c>
      <c r="H13" s="30"/>
      <c r="I13" s="30">
        <v>270</v>
      </c>
      <c r="J13"/>
    </row>
    <row r="14" spans="1:10" x14ac:dyDescent="0.25">
      <c r="C14" t="s">
        <v>11</v>
      </c>
      <c r="D14" s="30">
        <v>560</v>
      </c>
      <c r="E14" s="30"/>
      <c r="F14" s="30"/>
      <c r="G14" s="30">
        <v>250</v>
      </c>
      <c r="H14" s="30"/>
      <c r="I14" s="30">
        <v>810</v>
      </c>
      <c r="J14"/>
    </row>
    <row r="15" spans="1:10" x14ac:dyDescent="0.25">
      <c r="C15" t="s">
        <v>16</v>
      </c>
      <c r="D15" s="30">
        <v>685</v>
      </c>
      <c r="E15" s="30">
        <v>20</v>
      </c>
      <c r="F15" s="30">
        <v>125</v>
      </c>
      <c r="G15" s="30">
        <v>375</v>
      </c>
      <c r="H15" s="30">
        <v>95</v>
      </c>
      <c r="I15" s="30">
        <v>1300</v>
      </c>
      <c r="J15"/>
    </row>
    <row r="100" spans="2:10" x14ac:dyDescent="0.25">
      <c r="B100" s="8" t="s">
        <v>4</v>
      </c>
      <c r="C100" s="8" t="s">
        <v>5</v>
      </c>
      <c r="D100" s="8" t="s">
        <v>6</v>
      </c>
      <c r="E100" s="8" t="s">
        <v>7</v>
      </c>
    </row>
    <row r="101" spans="2:10" x14ac:dyDescent="0.25">
      <c r="B101" s="9">
        <v>42736</v>
      </c>
      <c r="C101" s="10" t="s">
        <v>9</v>
      </c>
      <c r="D101" s="37" t="s">
        <v>93</v>
      </c>
      <c r="E101" s="11">
        <v>95</v>
      </c>
    </row>
    <row r="102" spans="2:10" x14ac:dyDescent="0.25">
      <c r="B102" s="12">
        <v>42750</v>
      </c>
      <c r="C102" s="13" t="s">
        <v>11</v>
      </c>
      <c r="D102" s="13" t="s">
        <v>12</v>
      </c>
      <c r="E102" s="14">
        <v>325</v>
      </c>
    </row>
    <row r="103" spans="2:10" x14ac:dyDescent="0.25">
      <c r="B103" s="9">
        <v>42752</v>
      </c>
      <c r="C103" s="37" t="s">
        <v>11</v>
      </c>
      <c r="D103" s="37" t="s">
        <v>18</v>
      </c>
      <c r="E103" s="11">
        <v>250</v>
      </c>
    </row>
    <row r="104" spans="2:10" x14ac:dyDescent="0.25">
      <c r="B104" s="12">
        <v>42756</v>
      </c>
      <c r="C104" s="38" t="s">
        <v>9</v>
      </c>
      <c r="D104" s="38" t="s">
        <v>12</v>
      </c>
      <c r="E104" s="14">
        <v>125</v>
      </c>
    </row>
    <row r="105" spans="2:10" x14ac:dyDescent="0.25">
      <c r="B105" s="9">
        <v>42768</v>
      </c>
      <c r="C105" s="10" t="s">
        <v>11</v>
      </c>
      <c r="D105" s="10" t="s">
        <v>12</v>
      </c>
      <c r="E105" s="11">
        <v>235</v>
      </c>
    </row>
    <row r="106" spans="2:10" x14ac:dyDescent="0.25">
      <c r="B106" s="12">
        <v>42786</v>
      </c>
      <c r="C106" s="13" t="s">
        <v>13</v>
      </c>
      <c r="D106" s="13" t="s">
        <v>17</v>
      </c>
      <c r="E106" s="14">
        <v>20</v>
      </c>
    </row>
    <row r="107" spans="2:10" x14ac:dyDescent="0.25">
      <c r="B107" s="9">
        <v>42791</v>
      </c>
      <c r="C107" s="10" t="s">
        <v>13</v>
      </c>
      <c r="D107" s="10" t="s">
        <v>18</v>
      </c>
      <c r="E107" s="11">
        <v>125</v>
      </c>
      <c r="J107"/>
    </row>
    <row r="108" spans="2:10" x14ac:dyDescent="0.25">
      <c r="B108" s="12">
        <v>42791</v>
      </c>
      <c r="C108" t="s">
        <v>13</v>
      </c>
      <c r="D108" t="s">
        <v>14</v>
      </c>
      <c r="E108" s="14">
        <v>125</v>
      </c>
    </row>
  </sheetData>
  <hyperlinks>
    <hyperlink ref="A5" r:id="rId2"/>
  </hyperlinks>
  <pageMargins left="0.7" right="0.7" top="0.75" bottom="0.75" header="0.3" footer="0.3"/>
  <pageSetup orientation="portrait" r:id="rId3"/>
  <drawing r:id="rId4"/>
  <tableParts count="1">
    <tablePart r:id="rId5"/>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J108"/>
  <sheetViews>
    <sheetView showGridLines="0" tabSelected="1" workbookViewId="0"/>
  </sheetViews>
  <sheetFormatPr defaultColWidth="9.140625" defaultRowHeight="15" x14ac:dyDescent="0.25"/>
  <cols>
    <col min="1" max="1" width="9.140625" style="6"/>
    <col min="2" max="2" width="9.7109375" style="7" bestFit="1" customWidth="1"/>
    <col min="3" max="3" width="14.85546875" style="7" bestFit="1" customWidth="1"/>
    <col min="4" max="8" width="7.5703125" style="7" bestFit="1" customWidth="1"/>
    <col min="9" max="10" width="11.28515625" style="7" bestFit="1" customWidth="1"/>
    <col min="11" max="16384" width="9.140625" style="7"/>
  </cols>
  <sheetData>
    <row r="1" spans="1:10" x14ac:dyDescent="0.25">
      <c r="A1" s="6" t="s">
        <v>102</v>
      </c>
    </row>
    <row r="2" spans="1:10" x14ac:dyDescent="0.25">
      <c r="A2" s="47" t="s">
        <v>94</v>
      </c>
    </row>
    <row r="3" spans="1:10" x14ac:dyDescent="0.25">
      <c r="A3" s="59" t="s">
        <v>128</v>
      </c>
    </row>
    <row r="7" spans="1:10" ht="18.75" x14ac:dyDescent="0.3">
      <c r="C7" s="16"/>
    </row>
    <row r="10" spans="1:10" x14ac:dyDescent="0.25">
      <c r="C10" s="28" t="s">
        <v>8</v>
      </c>
      <c r="D10" s="28" t="s">
        <v>6</v>
      </c>
      <c r="E10"/>
      <c r="F10"/>
      <c r="G10"/>
      <c r="H10"/>
      <c r="I10"/>
      <c r="J10"/>
    </row>
    <row r="11" spans="1:10" x14ac:dyDescent="0.25">
      <c r="C11" s="28" t="s">
        <v>5</v>
      </c>
      <c r="D11" t="s">
        <v>12</v>
      </c>
      <c r="E11" t="s">
        <v>93</v>
      </c>
      <c r="F11" t="s">
        <v>17</v>
      </c>
      <c r="G11" t="s">
        <v>14</v>
      </c>
      <c r="H11" t="s">
        <v>18</v>
      </c>
      <c r="I11" t="s">
        <v>16</v>
      </c>
      <c r="J11"/>
    </row>
    <row r="12" spans="1:10" x14ac:dyDescent="0.25">
      <c r="C12" t="s">
        <v>9</v>
      </c>
      <c r="D12" s="36">
        <v>125</v>
      </c>
      <c r="E12" s="36">
        <v>95</v>
      </c>
      <c r="F12" s="36"/>
      <c r="G12" s="36"/>
      <c r="H12" s="36"/>
      <c r="I12" s="36">
        <v>220</v>
      </c>
      <c r="J12"/>
    </row>
    <row r="13" spans="1:10" x14ac:dyDescent="0.25">
      <c r="C13" t="s">
        <v>13</v>
      </c>
      <c r="D13" s="36"/>
      <c r="E13" s="36"/>
      <c r="F13" s="36">
        <v>20</v>
      </c>
      <c r="G13" s="36">
        <v>125</v>
      </c>
      <c r="H13" s="36">
        <v>125</v>
      </c>
      <c r="I13" s="36">
        <v>270</v>
      </c>
      <c r="J13"/>
    </row>
    <row r="14" spans="1:10" x14ac:dyDescent="0.25">
      <c r="C14" t="s">
        <v>11</v>
      </c>
      <c r="D14" s="36">
        <v>560</v>
      </c>
      <c r="E14" s="36"/>
      <c r="F14" s="36"/>
      <c r="G14" s="36"/>
      <c r="H14" s="36">
        <v>250</v>
      </c>
      <c r="I14" s="36">
        <v>810</v>
      </c>
      <c r="J14"/>
    </row>
    <row r="15" spans="1:10" x14ac:dyDescent="0.25">
      <c r="C15" t="s">
        <v>16</v>
      </c>
      <c r="D15" s="36">
        <v>685</v>
      </c>
      <c r="E15" s="36">
        <v>95</v>
      </c>
      <c r="F15" s="36">
        <v>20</v>
      </c>
      <c r="G15" s="36">
        <v>125</v>
      </c>
      <c r="H15" s="36">
        <v>375</v>
      </c>
      <c r="I15" s="36">
        <v>1300</v>
      </c>
      <c r="J15"/>
    </row>
    <row r="16" spans="1:10" x14ac:dyDescent="0.25">
      <c r="C16"/>
      <c r="D16"/>
      <c r="E16"/>
    </row>
    <row r="17" spans="3:5" x14ac:dyDescent="0.25">
      <c r="C17"/>
      <c r="D17"/>
      <c r="E17"/>
    </row>
    <row r="18" spans="3:5" x14ac:dyDescent="0.25">
      <c r="C18"/>
      <c r="D18"/>
      <c r="E18"/>
    </row>
    <row r="19" spans="3:5" x14ac:dyDescent="0.25">
      <c r="C19"/>
      <c r="D19"/>
      <c r="E19"/>
    </row>
    <row r="20" spans="3:5" x14ac:dyDescent="0.25">
      <c r="C20"/>
      <c r="D20"/>
      <c r="E20"/>
    </row>
    <row r="21" spans="3:5" x14ac:dyDescent="0.25">
      <c r="C21"/>
      <c r="D21"/>
      <c r="E21"/>
    </row>
    <row r="22" spans="3:5" x14ac:dyDescent="0.25">
      <c r="C22"/>
      <c r="D22"/>
      <c r="E22"/>
    </row>
    <row r="23" spans="3:5" x14ac:dyDescent="0.25">
      <c r="C23"/>
      <c r="D23"/>
      <c r="E23"/>
    </row>
    <row r="24" spans="3:5" x14ac:dyDescent="0.25">
      <c r="C24"/>
      <c r="D24"/>
      <c r="E24"/>
    </row>
    <row r="25" spans="3:5" x14ac:dyDescent="0.25">
      <c r="C25"/>
      <c r="D25"/>
      <c r="E25"/>
    </row>
    <row r="26" spans="3:5" x14ac:dyDescent="0.25">
      <c r="C26"/>
      <c r="D26"/>
      <c r="E26"/>
    </row>
    <row r="27" spans="3:5" x14ac:dyDescent="0.25">
      <c r="C27"/>
      <c r="D27"/>
      <c r="E27"/>
    </row>
    <row r="100" spans="2:5" x14ac:dyDescent="0.25">
      <c r="B100" t="s">
        <v>4</v>
      </c>
      <c r="C100" t="s">
        <v>5</v>
      </c>
      <c r="D100" t="s">
        <v>6</v>
      </c>
      <c r="E100" t="s">
        <v>7</v>
      </c>
    </row>
    <row r="101" spans="2:5" x14ac:dyDescent="0.25">
      <c r="B101" s="9">
        <v>42736</v>
      </c>
      <c r="C101" t="s">
        <v>9</v>
      </c>
      <c r="D101" t="s">
        <v>93</v>
      </c>
      <c r="E101">
        <v>95</v>
      </c>
    </row>
    <row r="102" spans="2:5" x14ac:dyDescent="0.25">
      <c r="B102" s="12">
        <v>42750</v>
      </c>
      <c r="C102" t="s">
        <v>11</v>
      </c>
      <c r="D102" t="s">
        <v>12</v>
      </c>
      <c r="E102">
        <v>325</v>
      </c>
    </row>
    <row r="103" spans="2:5" x14ac:dyDescent="0.25">
      <c r="B103" s="9">
        <v>42752</v>
      </c>
      <c r="C103" t="s">
        <v>11</v>
      </c>
      <c r="D103" t="s">
        <v>18</v>
      </c>
      <c r="E103">
        <v>250</v>
      </c>
    </row>
    <row r="104" spans="2:5" x14ac:dyDescent="0.25">
      <c r="B104" s="12">
        <v>42756</v>
      </c>
      <c r="C104" t="s">
        <v>9</v>
      </c>
      <c r="D104" t="s">
        <v>12</v>
      </c>
      <c r="E104">
        <v>125</v>
      </c>
    </row>
    <row r="105" spans="2:5" x14ac:dyDescent="0.25">
      <c r="B105" s="9">
        <v>42768</v>
      </c>
      <c r="C105" t="s">
        <v>11</v>
      </c>
      <c r="D105" t="s">
        <v>12</v>
      </c>
      <c r="E105">
        <v>235</v>
      </c>
    </row>
    <row r="106" spans="2:5" x14ac:dyDescent="0.25">
      <c r="B106" s="12">
        <v>42786</v>
      </c>
      <c r="C106" t="s">
        <v>13</v>
      </c>
      <c r="D106" t="s">
        <v>17</v>
      </c>
      <c r="E106">
        <v>20</v>
      </c>
    </row>
    <row r="107" spans="2:5" x14ac:dyDescent="0.25">
      <c r="B107" s="9">
        <v>42791</v>
      </c>
      <c r="C107" t="s">
        <v>13</v>
      </c>
      <c r="D107" t="s">
        <v>18</v>
      </c>
      <c r="E107">
        <v>125</v>
      </c>
    </row>
    <row r="108" spans="2:5" x14ac:dyDescent="0.25">
      <c r="B108" s="12">
        <v>42791</v>
      </c>
      <c r="C108" t="s">
        <v>13</v>
      </c>
      <c r="D108" t="s">
        <v>14</v>
      </c>
      <c r="E108">
        <v>125</v>
      </c>
    </row>
  </sheetData>
  <hyperlinks>
    <hyperlink ref="A3" r:id="rId2"/>
  </hyperlinks>
  <pageMargins left="0.7" right="0.7" top="0.75" bottom="0.75" header="0.3" footer="0.3"/>
  <pageSetup orientation="portrait" r:id="rId3"/>
  <drawing r:id="rId4"/>
  <tableParts count="1">
    <tablePart r:id="rId5"/>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9"/>
  <dimension ref="A1:C7"/>
  <sheetViews>
    <sheetView showGridLines="0" workbookViewId="0"/>
  </sheetViews>
  <sheetFormatPr defaultColWidth="9.140625" defaultRowHeight="15" x14ac:dyDescent="0.25"/>
  <cols>
    <col min="1" max="1" width="9.140625" style="6"/>
    <col min="2" max="2" width="9.140625" style="7"/>
    <col min="3" max="3" width="14.42578125" style="7" bestFit="1" customWidth="1"/>
    <col min="4" max="9" width="7.28515625" style="7" bestFit="1" customWidth="1"/>
    <col min="10" max="10" width="10.7109375" style="7" bestFit="1" customWidth="1"/>
    <col min="11" max="16384" width="9.140625" style="7"/>
  </cols>
  <sheetData>
    <row r="1" spans="1:3" x14ac:dyDescent="0.25">
      <c r="A1" s="6" t="s">
        <v>104</v>
      </c>
    </row>
    <row r="2" spans="1:3" x14ac:dyDescent="0.25">
      <c r="A2" s="6" t="s">
        <v>103</v>
      </c>
    </row>
    <row r="3" spans="1:3" x14ac:dyDescent="0.25">
      <c r="A3" s="47" t="s">
        <v>94</v>
      </c>
    </row>
    <row r="4" spans="1:3" x14ac:dyDescent="0.25">
      <c r="A4" s="59" t="s">
        <v>128</v>
      </c>
    </row>
    <row r="7" spans="1:3" ht="18.75" x14ac:dyDescent="0.3">
      <c r="C7" s="16"/>
    </row>
  </sheetData>
  <hyperlinks>
    <hyperlink ref="A4" r:id="rId1"/>
  </hyperlinks>
  <pageMargins left="0.7" right="0.7" top="0.75" bottom="0.75" header="0.3" footer="0.3"/>
  <pageSetup orientation="portrait"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I108"/>
  <sheetViews>
    <sheetView showGridLines="0" workbookViewId="0">
      <selection activeCell="A5" sqref="A5"/>
    </sheetView>
  </sheetViews>
  <sheetFormatPr defaultColWidth="9.140625" defaultRowHeight="15" x14ac:dyDescent="0.25"/>
  <cols>
    <col min="1" max="1" width="9.140625" style="6"/>
    <col min="2" max="3" width="14.85546875" style="7" bestFit="1" customWidth="1"/>
    <col min="4" max="9" width="11.140625" style="7" customWidth="1"/>
    <col min="10" max="16384" width="9.140625" style="7"/>
  </cols>
  <sheetData>
    <row r="1" spans="1:9" ht="15" customHeight="1" x14ac:dyDescent="0.25">
      <c r="A1" s="49" t="s">
        <v>132</v>
      </c>
    </row>
    <row r="2" spans="1:9" ht="15" customHeight="1" x14ac:dyDescent="0.25">
      <c r="A2" s="6" t="s">
        <v>150</v>
      </c>
    </row>
    <row r="3" spans="1:9" ht="15" customHeight="1" x14ac:dyDescent="0.25">
      <c r="A3" s="6" t="s">
        <v>134</v>
      </c>
    </row>
    <row r="4" spans="1:9" ht="15" customHeight="1" x14ac:dyDescent="0.25">
      <c r="A4" s="6" t="s">
        <v>151</v>
      </c>
    </row>
    <row r="5" spans="1:9" ht="15" customHeight="1" x14ac:dyDescent="0.25">
      <c r="A5" s="47" t="s">
        <v>94</v>
      </c>
    </row>
    <row r="6" spans="1:9" ht="15" customHeight="1" x14ac:dyDescent="0.25">
      <c r="A6" s="60" t="s">
        <v>128</v>
      </c>
    </row>
    <row r="7" spans="1:9" ht="15" customHeight="1" x14ac:dyDescent="0.25">
      <c r="A7" s="49"/>
    </row>
    <row r="8" spans="1:9" ht="15" customHeight="1" x14ac:dyDescent="0.25"/>
    <row r="9" spans="1:9" ht="15" customHeight="1" x14ac:dyDescent="0.3">
      <c r="H9" s="16" t="str">
        <f>IF(AND($B$14="Buyer",$H$17=810),"Good job! You placed"," ")</f>
        <v xml:space="preserve"> </v>
      </c>
    </row>
    <row r="10" spans="1:9" ht="15" customHeight="1" x14ac:dyDescent="0.3">
      <c r="H10" s="16" t="str">
        <f>IF(AND($B$14="Buyer",$H$17=810),"your first column field."," ")</f>
        <v xml:space="preserve"> </v>
      </c>
    </row>
    <row r="11" spans="1:9" ht="15" customHeight="1" x14ac:dyDescent="0.3">
      <c r="H11" s="16" t="str">
        <f>IF(AND($B$14="Buyer",$H$17=810),"Click Next to continue..."," ")</f>
        <v xml:space="preserve"> </v>
      </c>
    </row>
    <row r="13" spans="1:9" x14ac:dyDescent="0.25">
      <c r="B13" s="28" t="s">
        <v>5</v>
      </c>
      <c r="C13" t="s">
        <v>8</v>
      </c>
      <c r="D13"/>
      <c r="E13"/>
      <c r="F13"/>
      <c r="G13"/>
      <c r="H13"/>
      <c r="I13"/>
    </row>
    <row r="14" spans="1:9" x14ac:dyDescent="0.25">
      <c r="B14" t="s">
        <v>9</v>
      </c>
      <c r="C14" s="30">
        <v>220</v>
      </c>
      <c r="D14"/>
      <c r="E14"/>
      <c r="F14"/>
      <c r="G14"/>
      <c r="H14"/>
      <c r="I14"/>
    </row>
    <row r="15" spans="1:9" x14ac:dyDescent="0.25">
      <c r="B15" t="s">
        <v>13</v>
      </c>
      <c r="C15" s="30">
        <v>270</v>
      </c>
      <c r="D15"/>
      <c r="E15"/>
      <c r="F15"/>
      <c r="G15"/>
      <c r="H15"/>
      <c r="I15"/>
    </row>
    <row r="16" spans="1:9" x14ac:dyDescent="0.25">
      <c r="B16" t="s">
        <v>11</v>
      </c>
      <c r="C16" s="30">
        <v>810</v>
      </c>
      <c r="D16"/>
      <c r="E16"/>
      <c r="F16"/>
      <c r="G16"/>
      <c r="H16"/>
      <c r="I16"/>
    </row>
    <row r="17" spans="2:9" x14ac:dyDescent="0.25">
      <c r="B17" t="s">
        <v>16</v>
      </c>
      <c r="C17" s="30">
        <v>1300</v>
      </c>
      <c r="D17"/>
      <c r="E17"/>
      <c r="F17"/>
      <c r="G17"/>
      <c r="H17"/>
      <c r="I17"/>
    </row>
    <row r="18" spans="2:9" x14ac:dyDescent="0.25">
      <c r="B18"/>
      <c r="C18"/>
      <c r="D18"/>
      <c r="E18"/>
      <c r="F18"/>
      <c r="G18"/>
      <c r="H18"/>
      <c r="I18"/>
    </row>
    <row r="19" spans="2:9" x14ac:dyDescent="0.25">
      <c r="B19"/>
      <c r="C19"/>
      <c r="D19"/>
    </row>
    <row r="20" spans="2:9" x14ac:dyDescent="0.25">
      <c r="B20"/>
      <c r="C20"/>
      <c r="D20"/>
    </row>
    <row r="21" spans="2:9" x14ac:dyDescent="0.25">
      <c r="B21"/>
      <c r="C21"/>
      <c r="D21"/>
    </row>
    <row r="22" spans="2:9" x14ac:dyDescent="0.25">
      <c r="B22"/>
      <c r="C22"/>
      <c r="D22"/>
    </row>
    <row r="23" spans="2:9" x14ac:dyDescent="0.25">
      <c r="B23"/>
      <c r="C23"/>
      <c r="D23"/>
    </row>
    <row r="24" spans="2:9" x14ac:dyDescent="0.25">
      <c r="B24"/>
      <c r="C24"/>
      <c r="D24"/>
    </row>
    <row r="100" spans="2:5" x14ac:dyDescent="0.25">
      <c r="B100" t="s">
        <v>4</v>
      </c>
      <c r="C100" t="s">
        <v>5</v>
      </c>
      <c r="D100" t="s">
        <v>6</v>
      </c>
      <c r="E100" t="s">
        <v>7</v>
      </c>
    </row>
    <row r="101" spans="2:5" x14ac:dyDescent="0.25">
      <c r="B101" s="9">
        <v>42736</v>
      </c>
      <c r="C101" t="s">
        <v>9</v>
      </c>
      <c r="D101" t="s">
        <v>93</v>
      </c>
      <c r="E101">
        <v>95</v>
      </c>
    </row>
    <row r="102" spans="2:5" x14ac:dyDescent="0.25">
      <c r="B102" s="12">
        <v>42750</v>
      </c>
      <c r="C102" t="s">
        <v>11</v>
      </c>
      <c r="D102" t="s">
        <v>12</v>
      </c>
      <c r="E102">
        <v>325</v>
      </c>
    </row>
    <row r="103" spans="2:5" x14ac:dyDescent="0.25">
      <c r="B103" s="9">
        <v>42752</v>
      </c>
      <c r="C103" t="s">
        <v>11</v>
      </c>
      <c r="D103" t="s">
        <v>18</v>
      </c>
      <c r="E103">
        <v>250</v>
      </c>
    </row>
    <row r="104" spans="2:5" x14ac:dyDescent="0.25">
      <c r="B104" s="12">
        <v>42756</v>
      </c>
      <c r="C104" t="s">
        <v>9</v>
      </c>
      <c r="D104" t="s">
        <v>12</v>
      </c>
      <c r="E104">
        <v>125</v>
      </c>
    </row>
    <row r="105" spans="2:5" x14ac:dyDescent="0.25">
      <c r="B105" s="9">
        <v>42768</v>
      </c>
      <c r="C105" t="s">
        <v>11</v>
      </c>
      <c r="D105" t="s">
        <v>12</v>
      </c>
      <c r="E105">
        <v>235</v>
      </c>
    </row>
    <row r="106" spans="2:5" x14ac:dyDescent="0.25">
      <c r="B106" s="12">
        <v>42786</v>
      </c>
      <c r="C106" t="s">
        <v>13</v>
      </c>
      <c r="D106" t="s">
        <v>17</v>
      </c>
      <c r="E106">
        <v>20</v>
      </c>
    </row>
    <row r="107" spans="2:5" x14ac:dyDescent="0.25">
      <c r="B107" s="9">
        <v>42791</v>
      </c>
      <c r="C107" t="s">
        <v>13</v>
      </c>
      <c r="D107" t="s">
        <v>18</v>
      </c>
      <c r="E107">
        <v>125</v>
      </c>
    </row>
    <row r="108" spans="2:5" x14ac:dyDescent="0.25">
      <c r="B108" s="12">
        <v>42791</v>
      </c>
      <c r="C108" t="s">
        <v>13</v>
      </c>
      <c r="D108" t="s">
        <v>14</v>
      </c>
      <c r="E108">
        <v>125</v>
      </c>
    </row>
  </sheetData>
  <hyperlinks>
    <hyperlink ref="A6" r:id="rId2"/>
  </hyperlinks>
  <pageMargins left="0.7" right="0.7" top="0.75" bottom="0.75" header="0.3" footer="0.3"/>
  <pageSetup orientation="portrait" r:id="rId3"/>
  <drawing r:id="rId4"/>
  <tableParts count="1">
    <tablePart r:id="rId5"/>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dimension ref="A1:N108"/>
  <sheetViews>
    <sheetView showGridLines="0" zoomScaleNormal="100" workbookViewId="0"/>
  </sheetViews>
  <sheetFormatPr defaultColWidth="9.140625" defaultRowHeight="15" x14ac:dyDescent="0.25"/>
  <cols>
    <col min="1" max="1" width="9.140625" style="6"/>
    <col min="2" max="3" width="14.85546875" style="7" customWidth="1"/>
    <col min="4" max="8" width="11.140625" style="7" customWidth="1"/>
    <col min="9" max="9" width="11.28515625" style="7" bestFit="1" customWidth="1"/>
    <col min="10" max="10" width="11.140625" style="7" customWidth="1"/>
    <col min="11" max="15" width="9.140625" style="7" customWidth="1"/>
    <col min="16" max="16384" width="9.140625" style="7"/>
  </cols>
  <sheetData>
    <row r="1" spans="1:14" x14ac:dyDescent="0.25">
      <c r="A1" s="6" t="s">
        <v>105</v>
      </c>
    </row>
    <row r="2" spans="1:14" x14ac:dyDescent="0.25">
      <c r="A2" s="6" t="s">
        <v>106</v>
      </c>
    </row>
    <row r="3" spans="1:14" x14ac:dyDescent="0.25">
      <c r="A3" s="6" t="s">
        <v>107</v>
      </c>
    </row>
    <row r="4" spans="1:14" x14ac:dyDescent="0.25">
      <c r="A4" s="6" t="s">
        <v>108</v>
      </c>
    </row>
    <row r="5" spans="1:14" x14ac:dyDescent="0.25">
      <c r="A5" s="47" t="s">
        <v>94</v>
      </c>
    </row>
    <row r="6" spans="1:14" x14ac:dyDescent="0.25">
      <c r="A6" s="60" t="s">
        <v>128</v>
      </c>
      <c r="K6"/>
      <c r="L6"/>
      <c r="M6"/>
      <c r="N6"/>
    </row>
    <row r="7" spans="1:14" x14ac:dyDescent="0.25">
      <c r="K7"/>
      <c r="L7"/>
      <c r="M7"/>
      <c r="N7"/>
    </row>
    <row r="8" spans="1:14" x14ac:dyDescent="0.25">
      <c r="C8" s="17"/>
      <c r="K8"/>
      <c r="L8"/>
      <c r="M8"/>
      <c r="N8"/>
    </row>
    <row r="9" spans="1:14" x14ac:dyDescent="0.25">
      <c r="C9" s="43" t="s">
        <v>8</v>
      </c>
      <c r="D9" s="64" t="s">
        <v>6</v>
      </c>
      <c r="E9" s="43"/>
      <c r="F9" s="43"/>
      <c r="G9" s="43"/>
      <c r="H9" s="43"/>
      <c r="I9" s="65"/>
      <c r="J9"/>
      <c r="K9"/>
      <c r="L9"/>
      <c r="M9"/>
      <c r="N9"/>
    </row>
    <row r="10" spans="1:14" x14ac:dyDescent="0.25">
      <c r="C10" s="41" t="s">
        <v>5</v>
      </c>
      <c r="D10" s="64" t="s">
        <v>12</v>
      </c>
      <c r="E10" s="64" t="s">
        <v>93</v>
      </c>
      <c r="F10" s="64" t="s">
        <v>17</v>
      </c>
      <c r="G10" s="64" t="s">
        <v>14</v>
      </c>
      <c r="H10" s="64" t="s">
        <v>18</v>
      </c>
      <c r="I10" s="44" t="s">
        <v>16</v>
      </c>
      <c r="J10"/>
      <c r="K10"/>
      <c r="L10"/>
      <c r="M10"/>
      <c r="N10"/>
    </row>
    <row r="11" spans="1:14" x14ac:dyDescent="0.25">
      <c r="C11" s="41" t="s">
        <v>9</v>
      </c>
      <c r="D11" s="42">
        <v>125</v>
      </c>
      <c r="E11" s="42">
        <v>95</v>
      </c>
      <c r="F11" s="42"/>
      <c r="G11" s="42"/>
      <c r="H11" s="42"/>
      <c r="I11" s="45">
        <v>220</v>
      </c>
      <c r="J11"/>
      <c r="K11"/>
      <c r="L11"/>
      <c r="M11"/>
      <c r="N11"/>
    </row>
    <row r="12" spans="1:14" x14ac:dyDescent="0.25">
      <c r="C12" s="41" t="s">
        <v>13</v>
      </c>
      <c r="D12" s="42"/>
      <c r="E12" s="42"/>
      <c r="F12" s="42">
        <v>20</v>
      </c>
      <c r="G12" s="42">
        <v>125</v>
      </c>
      <c r="H12" s="42">
        <v>125</v>
      </c>
      <c r="I12" s="45">
        <v>270</v>
      </c>
      <c r="J12"/>
      <c r="K12"/>
      <c r="L12"/>
      <c r="M12"/>
      <c r="N12"/>
    </row>
    <row r="13" spans="1:14" x14ac:dyDescent="0.25">
      <c r="C13" s="41" t="s">
        <v>11</v>
      </c>
      <c r="D13" s="42">
        <v>560</v>
      </c>
      <c r="E13" s="42"/>
      <c r="F13" s="42"/>
      <c r="G13" s="42"/>
      <c r="H13" s="42">
        <v>250</v>
      </c>
      <c r="I13" s="45">
        <v>810</v>
      </c>
      <c r="J13"/>
    </row>
    <row r="14" spans="1:14" x14ac:dyDescent="0.25">
      <c r="C14" s="44" t="s">
        <v>16</v>
      </c>
      <c r="D14" s="67">
        <v>685</v>
      </c>
      <c r="E14" s="67">
        <v>95</v>
      </c>
      <c r="F14" s="67">
        <v>20</v>
      </c>
      <c r="G14" s="67">
        <v>125</v>
      </c>
      <c r="H14" s="67">
        <v>375</v>
      </c>
      <c r="I14" s="66">
        <v>1300</v>
      </c>
      <c r="J14"/>
      <c r="K14"/>
    </row>
    <row r="15" spans="1:14" x14ac:dyDescent="0.25">
      <c r="C15"/>
      <c r="D15"/>
      <c r="E15"/>
      <c r="K15"/>
    </row>
    <row r="16" spans="1:14" x14ac:dyDescent="0.25">
      <c r="C16"/>
      <c r="D16"/>
      <c r="E16"/>
      <c r="K16"/>
    </row>
    <row r="17" spans="3:11" x14ac:dyDescent="0.25">
      <c r="C17"/>
      <c r="D17"/>
      <c r="E17"/>
      <c r="K17"/>
    </row>
    <row r="18" spans="3:11" x14ac:dyDescent="0.25">
      <c r="C18"/>
      <c r="D18"/>
      <c r="E18"/>
    </row>
    <row r="19" spans="3:11" x14ac:dyDescent="0.25">
      <c r="C19"/>
      <c r="D19"/>
      <c r="E19"/>
    </row>
    <row r="20" spans="3:11" x14ac:dyDescent="0.25">
      <c r="C20"/>
      <c r="D20"/>
      <c r="E20"/>
    </row>
    <row r="21" spans="3:11" x14ac:dyDescent="0.25">
      <c r="C21"/>
      <c r="D21"/>
      <c r="E21"/>
    </row>
    <row r="22" spans="3:11" x14ac:dyDescent="0.25">
      <c r="C22"/>
      <c r="D22"/>
      <c r="E22"/>
    </row>
    <row r="23" spans="3:11" x14ac:dyDescent="0.25">
      <c r="C23"/>
      <c r="D23"/>
      <c r="E23"/>
    </row>
    <row r="24" spans="3:11" x14ac:dyDescent="0.25">
      <c r="C24"/>
      <c r="D24"/>
      <c r="E24"/>
    </row>
    <row r="25" spans="3:11" x14ac:dyDescent="0.25">
      <c r="C25"/>
      <c r="D25"/>
      <c r="E25"/>
    </row>
    <row r="26" spans="3:11" x14ac:dyDescent="0.25">
      <c r="C26"/>
      <c r="D26"/>
      <c r="E26"/>
    </row>
    <row r="100" spans="2:10" x14ac:dyDescent="0.25">
      <c r="B100" s="8" t="s">
        <v>4</v>
      </c>
      <c r="C100" s="8" t="s">
        <v>5</v>
      </c>
      <c r="D100" s="8" t="s">
        <v>6</v>
      </c>
      <c r="E100" s="8" t="s">
        <v>7</v>
      </c>
    </row>
    <row r="101" spans="2:10" x14ac:dyDescent="0.25">
      <c r="B101" s="9">
        <v>42736</v>
      </c>
      <c r="C101" t="s">
        <v>9</v>
      </c>
      <c r="D101" t="s">
        <v>93</v>
      </c>
      <c r="E101">
        <v>95</v>
      </c>
    </row>
    <row r="102" spans="2:10" x14ac:dyDescent="0.25">
      <c r="B102" s="12">
        <v>42750</v>
      </c>
      <c r="C102" t="s">
        <v>11</v>
      </c>
      <c r="D102" t="s">
        <v>12</v>
      </c>
      <c r="E102">
        <v>325</v>
      </c>
    </row>
    <row r="103" spans="2:10" x14ac:dyDescent="0.25">
      <c r="B103" s="9">
        <v>42752</v>
      </c>
      <c r="C103" t="s">
        <v>11</v>
      </c>
      <c r="D103" t="s">
        <v>18</v>
      </c>
      <c r="E103">
        <v>250</v>
      </c>
    </row>
    <row r="104" spans="2:10" x14ac:dyDescent="0.25">
      <c r="B104" s="12">
        <v>42756</v>
      </c>
      <c r="C104" t="s">
        <v>9</v>
      </c>
      <c r="D104" t="s">
        <v>12</v>
      </c>
      <c r="E104">
        <v>125</v>
      </c>
    </row>
    <row r="105" spans="2:10" x14ac:dyDescent="0.25">
      <c r="B105" s="9">
        <v>42768</v>
      </c>
      <c r="C105" t="s">
        <v>11</v>
      </c>
      <c r="D105" t="s">
        <v>12</v>
      </c>
      <c r="E105">
        <v>235</v>
      </c>
    </row>
    <row r="106" spans="2:10" x14ac:dyDescent="0.25">
      <c r="B106" s="12">
        <v>42786</v>
      </c>
      <c r="C106" t="s">
        <v>13</v>
      </c>
      <c r="D106" t="s">
        <v>17</v>
      </c>
      <c r="E106">
        <v>20</v>
      </c>
    </row>
    <row r="107" spans="2:10" x14ac:dyDescent="0.25">
      <c r="B107" s="9">
        <v>42791</v>
      </c>
      <c r="C107" t="s">
        <v>13</v>
      </c>
      <c r="D107" t="s">
        <v>18</v>
      </c>
      <c r="E107">
        <v>125</v>
      </c>
      <c r="J107" s="39"/>
    </row>
    <row r="108" spans="2:10" x14ac:dyDescent="0.25">
      <c r="B108" s="9">
        <v>42791</v>
      </c>
      <c r="C108" t="s">
        <v>13</v>
      </c>
      <c r="D108" t="s">
        <v>14</v>
      </c>
      <c r="E108">
        <v>125</v>
      </c>
    </row>
  </sheetData>
  <hyperlinks>
    <hyperlink ref="A6" r:id="rId2"/>
  </hyperlinks>
  <pageMargins left="0.7" right="0.7" top="0.75" bottom="0.75" header="0.3" footer="0.3"/>
  <pageSetup orientation="portrait" r:id="rId3"/>
  <drawing r:id="rId4"/>
  <tableParts count="1">
    <tablePart r:id="rId5"/>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dimension ref="A1:Q18"/>
  <sheetViews>
    <sheetView showGridLines="0" zoomScaleNormal="100" workbookViewId="0"/>
  </sheetViews>
  <sheetFormatPr defaultColWidth="9.140625" defaultRowHeight="15" x14ac:dyDescent="0.25"/>
  <cols>
    <col min="1" max="1" width="9.140625" style="6"/>
    <col min="2" max="3" width="9.140625" style="7"/>
    <col min="4" max="4" width="14.42578125" style="7" bestFit="1" customWidth="1"/>
    <col min="5" max="16" width="9.140625" style="7"/>
    <col min="17" max="17" width="9.7109375" style="7" bestFit="1" customWidth="1"/>
    <col min="18" max="16384" width="9.140625" style="7"/>
  </cols>
  <sheetData>
    <row r="1" spans="1:17" x14ac:dyDescent="0.25">
      <c r="A1" s="47" t="s">
        <v>130</v>
      </c>
    </row>
    <row r="2" spans="1:17" x14ac:dyDescent="0.25">
      <c r="A2" s="47" t="s">
        <v>111</v>
      </c>
    </row>
    <row r="3" spans="1:17" x14ac:dyDescent="0.25">
      <c r="A3" s="47" t="s">
        <v>94</v>
      </c>
    </row>
    <row r="4" spans="1:17" x14ac:dyDescent="0.25">
      <c r="A4" s="47" t="s">
        <v>128</v>
      </c>
      <c r="O4"/>
      <c r="P4"/>
      <c r="Q4"/>
    </row>
    <row r="5" spans="1:17" x14ac:dyDescent="0.25">
      <c r="A5" s="47"/>
      <c r="O5"/>
      <c r="P5"/>
      <c r="Q5"/>
    </row>
    <row r="6" spans="1:17" x14ac:dyDescent="0.25">
      <c r="O6"/>
      <c r="P6"/>
      <c r="Q6"/>
    </row>
    <row r="7" spans="1:17" x14ac:dyDescent="0.25">
      <c r="O7"/>
      <c r="P7"/>
      <c r="Q7"/>
    </row>
    <row r="8" spans="1:17" x14ac:dyDescent="0.25">
      <c r="O8"/>
      <c r="P8"/>
      <c r="Q8"/>
    </row>
    <row r="9" spans="1:17" x14ac:dyDescent="0.25">
      <c r="O9"/>
      <c r="P9"/>
      <c r="Q9"/>
    </row>
    <row r="10" spans="1:17" x14ac:dyDescent="0.25">
      <c r="O10"/>
      <c r="P10"/>
      <c r="Q10"/>
    </row>
    <row r="11" spans="1:17" x14ac:dyDescent="0.25">
      <c r="O11"/>
      <c r="P11"/>
      <c r="Q11"/>
    </row>
    <row r="12" spans="1:17" x14ac:dyDescent="0.25">
      <c r="O12"/>
      <c r="P12"/>
      <c r="Q12"/>
    </row>
    <row r="13" spans="1:17" x14ac:dyDescent="0.25">
      <c r="O13"/>
      <c r="P13"/>
      <c r="Q13"/>
    </row>
    <row r="14" spans="1:17" x14ac:dyDescent="0.25">
      <c r="O14"/>
      <c r="P14"/>
      <c r="Q14"/>
    </row>
    <row r="15" spans="1:17" x14ac:dyDescent="0.25">
      <c r="O15"/>
      <c r="P15"/>
      <c r="Q15"/>
    </row>
    <row r="16" spans="1:17" x14ac:dyDescent="0.25">
      <c r="O16"/>
      <c r="P16"/>
      <c r="Q16"/>
    </row>
    <row r="17" spans="15:17" x14ac:dyDescent="0.25">
      <c r="O17"/>
      <c r="P17"/>
      <c r="Q17"/>
    </row>
    <row r="18" spans="15:17" x14ac:dyDescent="0.25">
      <c r="O18"/>
      <c r="P18"/>
      <c r="Q18"/>
    </row>
  </sheetData>
  <hyperlinks>
    <hyperlink ref="A4" r:id="rId1"/>
  </hyperlinks>
  <pageMargins left="0.7" right="0.7" top="0.75" bottom="0.75" header="0.3" footer="0.3"/>
  <pageSetup orientation="portrait" r:id="rId2"/>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A4"/>
  <sheetViews>
    <sheetView showGridLines="0" zoomScaleNormal="100" workbookViewId="0"/>
  </sheetViews>
  <sheetFormatPr defaultColWidth="9.140625" defaultRowHeight="15" x14ac:dyDescent="0.25"/>
  <cols>
    <col min="1" max="1" width="9.140625" style="6"/>
    <col min="2" max="16384" width="9.140625" style="7"/>
  </cols>
  <sheetData>
    <row r="1" spans="1:1" x14ac:dyDescent="0.25">
      <c r="A1" s="6" t="s">
        <v>109</v>
      </c>
    </row>
    <row r="2" spans="1:1" x14ac:dyDescent="0.25">
      <c r="A2" s="6" t="s">
        <v>110</v>
      </c>
    </row>
    <row r="3" spans="1:1" x14ac:dyDescent="0.25">
      <c r="A3" s="47" t="s">
        <v>94</v>
      </c>
    </row>
    <row r="4" spans="1:1" x14ac:dyDescent="0.25">
      <c r="A4" s="61" t="s">
        <v>128</v>
      </c>
    </row>
  </sheetData>
  <hyperlinks>
    <hyperlink ref="A4" r:id="rId1"/>
  </hyperlinks>
  <pageMargins left="0.7" right="0.7" top="0.75" bottom="0.75" header="0.3" footer="0.3"/>
  <pageSetup orientation="portrait" r:id="rId2"/>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dimension ref="A1:X121"/>
  <sheetViews>
    <sheetView showGridLines="0" topLeftCell="H105" zoomScaleNormal="100" workbookViewId="0">
      <selection activeCell="L116" sqref="L116"/>
    </sheetView>
  </sheetViews>
  <sheetFormatPr defaultColWidth="9.140625" defaultRowHeight="15" x14ac:dyDescent="0.25"/>
  <cols>
    <col min="1" max="1" width="9.5703125" style="6" bestFit="1" customWidth="1"/>
    <col min="2" max="2" width="9.7109375" style="7" bestFit="1" customWidth="1"/>
    <col min="3" max="3" width="14.85546875" style="7" bestFit="1" customWidth="1"/>
    <col min="4" max="23" width="16" style="7" bestFit="1" customWidth="1"/>
    <col min="24" max="24" width="11.28515625" style="7" bestFit="1" customWidth="1"/>
    <col min="25" max="16384" width="9.140625" style="7"/>
  </cols>
  <sheetData>
    <row r="1" spans="1:24" x14ac:dyDescent="0.25">
      <c r="A1" s="47" t="s">
        <v>23</v>
      </c>
    </row>
    <row r="2" spans="1:24" x14ac:dyDescent="0.25">
      <c r="A2" s="47" t="s">
        <v>112</v>
      </c>
    </row>
    <row r="3" spans="1:24" x14ac:dyDescent="0.25">
      <c r="A3" s="47" t="s">
        <v>94</v>
      </c>
    </row>
    <row r="4" spans="1:24" x14ac:dyDescent="0.25">
      <c r="A4" s="47" t="s">
        <v>128</v>
      </c>
    </row>
    <row r="10" spans="1:24" x14ac:dyDescent="0.25">
      <c r="C10" s="28" t="s">
        <v>8</v>
      </c>
      <c r="D10" s="28" t="s">
        <v>6</v>
      </c>
      <c r="E10"/>
      <c r="F10"/>
      <c r="G10"/>
      <c r="H10"/>
      <c r="I10"/>
      <c r="J10"/>
      <c r="K10"/>
      <c r="L10"/>
      <c r="M10"/>
      <c r="N10"/>
      <c r="O10"/>
      <c r="P10"/>
      <c r="Q10"/>
      <c r="R10"/>
      <c r="S10"/>
      <c r="T10"/>
      <c r="U10"/>
      <c r="V10"/>
      <c r="W10"/>
      <c r="X10"/>
    </row>
    <row r="11" spans="1:24" x14ac:dyDescent="0.25">
      <c r="C11" s="28" t="s">
        <v>5</v>
      </c>
      <c r="D11" t="s">
        <v>15</v>
      </c>
      <c r="E11" t="s">
        <v>12</v>
      </c>
      <c r="F11" t="s">
        <v>10</v>
      </c>
      <c r="G11" t="s">
        <v>17</v>
      </c>
      <c r="H11" t="s">
        <v>14</v>
      </c>
      <c r="I11" t="s">
        <v>18</v>
      </c>
      <c r="J11" t="s">
        <v>24</v>
      </c>
      <c r="K11" t="s">
        <v>25</v>
      </c>
      <c r="L11" t="s">
        <v>26</v>
      </c>
      <c r="M11" t="s">
        <v>27</v>
      </c>
      <c r="N11" t="s">
        <v>28</v>
      </c>
      <c r="O11" t="s">
        <v>29</v>
      </c>
      <c r="P11" t="s">
        <v>30</v>
      </c>
      <c r="Q11" t="s">
        <v>31</v>
      </c>
      <c r="R11" t="s">
        <v>32</v>
      </c>
      <c r="S11" t="s">
        <v>33</v>
      </c>
      <c r="T11" t="s">
        <v>34</v>
      </c>
      <c r="U11" t="s">
        <v>35</v>
      </c>
      <c r="V11" t="s">
        <v>36</v>
      </c>
      <c r="W11" t="s">
        <v>37</v>
      </c>
      <c r="X11" t="s">
        <v>16</v>
      </c>
    </row>
    <row r="12" spans="1:24" x14ac:dyDescent="0.25">
      <c r="C12" t="s">
        <v>9</v>
      </c>
      <c r="D12" s="30"/>
      <c r="E12" s="30"/>
      <c r="F12" s="30"/>
      <c r="G12" s="30"/>
      <c r="H12" s="30">
        <v>1000</v>
      </c>
      <c r="I12" s="30"/>
      <c r="J12" s="30"/>
      <c r="K12" s="30"/>
      <c r="L12" s="30"/>
      <c r="M12" s="30"/>
      <c r="N12" s="30">
        <v>500</v>
      </c>
      <c r="O12" s="30"/>
      <c r="P12" s="30"/>
      <c r="Q12" s="30"/>
      <c r="R12" s="30">
        <v>500</v>
      </c>
      <c r="S12" s="30"/>
      <c r="T12" s="30"/>
      <c r="U12" s="30"/>
      <c r="V12" s="30"/>
      <c r="W12" s="30"/>
      <c r="X12" s="30">
        <v>2000</v>
      </c>
    </row>
    <row r="13" spans="1:24" x14ac:dyDescent="0.25">
      <c r="C13" t="s">
        <v>13</v>
      </c>
      <c r="D13" s="30">
        <v>250</v>
      </c>
      <c r="E13" s="30"/>
      <c r="F13" s="30"/>
      <c r="G13" s="30">
        <v>20</v>
      </c>
      <c r="H13" s="30"/>
      <c r="I13" s="30">
        <v>125</v>
      </c>
      <c r="J13" s="30">
        <v>20</v>
      </c>
      <c r="K13" s="30"/>
      <c r="L13" s="30"/>
      <c r="M13" s="30"/>
      <c r="N13" s="30"/>
      <c r="O13" s="30"/>
      <c r="P13" s="30">
        <v>20</v>
      </c>
      <c r="Q13" s="30">
        <v>125</v>
      </c>
      <c r="R13" s="30"/>
      <c r="S13" s="30">
        <v>125</v>
      </c>
      <c r="T13" s="30">
        <v>250</v>
      </c>
      <c r="U13" s="30"/>
      <c r="V13" s="30"/>
      <c r="W13" s="30"/>
      <c r="X13" s="30">
        <v>935</v>
      </c>
    </row>
    <row r="14" spans="1:24" x14ac:dyDescent="0.25">
      <c r="C14" t="s">
        <v>11</v>
      </c>
      <c r="D14" s="30"/>
      <c r="E14" s="30">
        <v>470</v>
      </c>
      <c r="F14" s="30">
        <v>74</v>
      </c>
      <c r="G14" s="30"/>
      <c r="H14" s="30"/>
      <c r="I14" s="30"/>
      <c r="J14" s="30"/>
      <c r="K14" s="30">
        <v>70</v>
      </c>
      <c r="L14" s="30">
        <v>74</v>
      </c>
      <c r="M14" s="30">
        <v>235</v>
      </c>
      <c r="N14" s="30"/>
      <c r="O14" s="30">
        <v>74</v>
      </c>
      <c r="P14" s="30"/>
      <c r="Q14" s="30"/>
      <c r="R14" s="30"/>
      <c r="S14" s="30"/>
      <c r="T14" s="30"/>
      <c r="U14" s="30">
        <v>125</v>
      </c>
      <c r="V14" s="30">
        <v>70</v>
      </c>
      <c r="W14" s="30">
        <v>235</v>
      </c>
      <c r="X14" s="30">
        <v>1427</v>
      </c>
    </row>
    <row r="15" spans="1:24" x14ac:dyDescent="0.25">
      <c r="C15" t="s">
        <v>16</v>
      </c>
      <c r="D15" s="30">
        <v>250</v>
      </c>
      <c r="E15" s="30">
        <v>470</v>
      </c>
      <c r="F15" s="30">
        <v>74</v>
      </c>
      <c r="G15" s="30">
        <v>20</v>
      </c>
      <c r="H15" s="30">
        <v>1000</v>
      </c>
      <c r="I15" s="30">
        <v>125</v>
      </c>
      <c r="J15" s="30">
        <v>20</v>
      </c>
      <c r="K15" s="30">
        <v>70</v>
      </c>
      <c r="L15" s="30">
        <v>74</v>
      </c>
      <c r="M15" s="30">
        <v>235</v>
      </c>
      <c r="N15" s="30">
        <v>500</v>
      </c>
      <c r="O15" s="30">
        <v>74</v>
      </c>
      <c r="P15" s="30">
        <v>20</v>
      </c>
      <c r="Q15" s="30">
        <v>125</v>
      </c>
      <c r="R15" s="30">
        <v>500</v>
      </c>
      <c r="S15" s="30">
        <v>125</v>
      </c>
      <c r="T15" s="30">
        <v>250</v>
      </c>
      <c r="U15" s="30">
        <v>125</v>
      </c>
      <c r="V15" s="30">
        <v>70</v>
      </c>
      <c r="W15" s="30">
        <v>235</v>
      </c>
      <c r="X15" s="30">
        <v>4362</v>
      </c>
    </row>
    <row r="100" spans="2:5" x14ac:dyDescent="0.25">
      <c r="B100" s="8" t="s">
        <v>4</v>
      </c>
      <c r="C100" s="8" t="s">
        <v>5</v>
      </c>
      <c r="D100" s="8" t="s">
        <v>6</v>
      </c>
      <c r="E100" s="8" t="s">
        <v>7</v>
      </c>
    </row>
    <row r="101" spans="2:5" x14ac:dyDescent="0.25">
      <c r="B101" s="18">
        <v>42752</v>
      </c>
      <c r="C101" s="10" t="s">
        <v>9</v>
      </c>
      <c r="D101" s="10" t="s">
        <v>14</v>
      </c>
      <c r="E101" s="11">
        <v>1000</v>
      </c>
    </row>
    <row r="102" spans="2:5" x14ac:dyDescent="0.25">
      <c r="B102" s="18">
        <v>42752</v>
      </c>
      <c r="C102" s="10" t="s">
        <v>9</v>
      </c>
      <c r="D102" s="10" t="s">
        <v>32</v>
      </c>
      <c r="E102" s="11">
        <v>500</v>
      </c>
    </row>
    <row r="103" spans="2:5" x14ac:dyDescent="0.25">
      <c r="B103" s="19">
        <v>42752</v>
      </c>
      <c r="C103" s="10" t="s">
        <v>9</v>
      </c>
      <c r="D103" s="10" t="s">
        <v>28</v>
      </c>
      <c r="E103" s="11">
        <v>500</v>
      </c>
    </row>
    <row r="104" spans="2:5" x14ac:dyDescent="0.25">
      <c r="B104" s="18">
        <v>42786</v>
      </c>
      <c r="C104" s="10" t="s">
        <v>13</v>
      </c>
      <c r="D104" s="10" t="s">
        <v>17</v>
      </c>
      <c r="E104" s="11">
        <v>20</v>
      </c>
    </row>
    <row r="105" spans="2:5" x14ac:dyDescent="0.25">
      <c r="B105" s="18">
        <v>42791</v>
      </c>
      <c r="C105" s="10" t="s">
        <v>13</v>
      </c>
      <c r="D105" s="10" t="s">
        <v>18</v>
      </c>
      <c r="E105" s="11">
        <v>125</v>
      </c>
    </row>
    <row r="106" spans="2:5" x14ac:dyDescent="0.25">
      <c r="B106" s="18">
        <v>42756</v>
      </c>
      <c r="C106" s="10" t="s">
        <v>13</v>
      </c>
      <c r="D106" s="10" t="s">
        <v>15</v>
      </c>
      <c r="E106" s="11">
        <v>250</v>
      </c>
    </row>
    <row r="107" spans="2:5" x14ac:dyDescent="0.25">
      <c r="B107" s="18">
        <v>42786</v>
      </c>
      <c r="C107" s="10" t="s">
        <v>13</v>
      </c>
      <c r="D107" s="10" t="s">
        <v>24</v>
      </c>
      <c r="E107" s="11">
        <v>20</v>
      </c>
    </row>
    <row r="108" spans="2:5" x14ac:dyDescent="0.25">
      <c r="B108" s="18">
        <v>42791</v>
      </c>
      <c r="C108" s="10" t="s">
        <v>13</v>
      </c>
      <c r="D108" s="10" t="s">
        <v>33</v>
      </c>
      <c r="E108" s="11">
        <v>125</v>
      </c>
    </row>
    <row r="109" spans="2:5" x14ac:dyDescent="0.25">
      <c r="B109" s="19">
        <v>42756</v>
      </c>
      <c r="C109" s="10" t="s">
        <v>13</v>
      </c>
      <c r="D109" s="10" t="s">
        <v>34</v>
      </c>
      <c r="E109" s="11">
        <v>250</v>
      </c>
    </row>
    <row r="110" spans="2:5" x14ac:dyDescent="0.25">
      <c r="B110" s="19">
        <v>42786</v>
      </c>
      <c r="C110" s="10" t="s">
        <v>13</v>
      </c>
      <c r="D110" s="10" t="s">
        <v>30</v>
      </c>
      <c r="E110" s="11">
        <v>20</v>
      </c>
    </row>
    <row r="111" spans="2:5" x14ac:dyDescent="0.25">
      <c r="B111" s="19">
        <v>42791</v>
      </c>
      <c r="C111" s="10" t="s">
        <v>13</v>
      </c>
      <c r="D111" s="10" t="s">
        <v>31</v>
      </c>
      <c r="E111" s="11">
        <v>125</v>
      </c>
    </row>
    <row r="112" spans="2:5" x14ac:dyDescent="0.25">
      <c r="B112" s="18">
        <v>42736</v>
      </c>
      <c r="C112" s="10" t="s">
        <v>11</v>
      </c>
      <c r="D112" s="10" t="s">
        <v>10</v>
      </c>
      <c r="E112" s="11">
        <v>74</v>
      </c>
    </row>
    <row r="113" spans="2:24" x14ac:dyDescent="0.25">
      <c r="B113" s="18">
        <v>42750</v>
      </c>
      <c r="C113" s="10" t="s">
        <v>11</v>
      </c>
      <c r="D113" s="10" t="s">
        <v>12</v>
      </c>
      <c r="E113" s="11">
        <v>235</v>
      </c>
    </row>
    <row r="114" spans="2:24" x14ac:dyDescent="0.25">
      <c r="B114" s="18">
        <v>42756</v>
      </c>
      <c r="C114" s="10" t="s">
        <v>11</v>
      </c>
      <c r="D114" s="10" t="s">
        <v>35</v>
      </c>
      <c r="E114" s="11">
        <v>125</v>
      </c>
    </row>
    <row r="115" spans="2:24" x14ac:dyDescent="0.25">
      <c r="B115" s="18">
        <v>42768</v>
      </c>
      <c r="C115" s="10" t="s">
        <v>11</v>
      </c>
      <c r="D115" s="10" t="s">
        <v>12</v>
      </c>
      <c r="E115" s="11">
        <v>235</v>
      </c>
    </row>
    <row r="116" spans="2:24" x14ac:dyDescent="0.25">
      <c r="B116" s="18">
        <v>42736</v>
      </c>
      <c r="C116" s="10" t="s">
        <v>11</v>
      </c>
      <c r="D116" s="10" t="s">
        <v>26</v>
      </c>
      <c r="E116" s="11">
        <v>74</v>
      </c>
    </row>
    <row r="117" spans="2:24" x14ac:dyDescent="0.25">
      <c r="B117" s="18">
        <v>42750</v>
      </c>
      <c r="C117" s="10" t="s">
        <v>11</v>
      </c>
      <c r="D117" s="10" t="s">
        <v>25</v>
      </c>
      <c r="E117" s="11">
        <v>70</v>
      </c>
    </row>
    <row r="118" spans="2:24" x14ac:dyDescent="0.25">
      <c r="B118" s="18">
        <v>42768</v>
      </c>
      <c r="C118" s="10" t="s">
        <v>11</v>
      </c>
      <c r="D118" s="10" t="s">
        <v>27</v>
      </c>
      <c r="E118" s="11">
        <v>235</v>
      </c>
    </row>
    <row r="119" spans="2:24" x14ac:dyDescent="0.25">
      <c r="B119" s="19">
        <v>42736</v>
      </c>
      <c r="C119" s="10" t="s">
        <v>11</v>
      </c>
      <c r="D119" s="10" t="s">
        <v>29</v>
      </c>
      <c r="E119" s="11">
        <v>74</v>
      </c>
    </row>
    <row r="120" spans="2:24" x14ac:dyDescent="0.25">
      <c r="B120" s="19">
        <v>42750</v>
      </c>
      <c r="C120" s="10" t="s">
        <v>11</v>
      </c>
      <c r="D120" s="10" t="s">
        <v>36</v>
      </c>
      <c r="E120" s="11">
        <v>70</v>
      </c>
    </row>
    <row r="121" spans="2:24" x14ac:dyDescent="0.25">
      <c r="B121" s="19">
        <v>42768</v>
      </c>
      <c r="C121" s="10" t="s">
        <v>11</v>
      </c>
      <c r="D121" s="10" t="s">
        <v>37</v>
      </c>
      <c r="E121" s="11">
        <v>235</v>
      </c>
      <c r="X121"/>
    </row>
  </sheetData>
  <hyperlinks>
    <hyperlink ref="A4" r:id="rId2"/>
  </hyperlinks>
  <pageMargins left="0.7" right="0.7" top="0.75" bottom="0.75" header="0.3" footer="0.3"/>
  <pageSetup orientation="portrait" r:id="rId3"/>
  <drawing r:id="rId4"/>
  <tableParts count="1">
    <tablePart r:id="rId5"/>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dimension ref="A1:E119"/>
  <sheetViews>
    <sheetView showGridLines="0" zoomScaleNormal="100" workbookViewId="0">
      <selection activeCell="D5" sqref="D5"/>
    </sheetView>
  </sheetViews>
  <sheetFormatPr defaultColWidth="9.140625" defaultRowHeight="15" x14ac:dyDescent="0.25"/>
  <cols>
    <col min="1" max="1" width="9.140625" style="6"/>
    <col min="2" max="2" width="9.140625" style="7"/>
    <col min="3" max="3" width="19.28515625" style="7" bestFit="1" customWidth="1"/>
    <col min="4" max="4" width="19.85546875" style="7" bestFit="1" customWidth="1"/>
    <col min="5" max="5" width="14.85546875" style="7" bestFit="1" customWidth="1"/>
    <col min="6" max="6" width="16" style="7" bestFit="1" customWidth="1"/>
    <col min="7" max="7" width="20.85546875" style="7" bestFit="1" customWidth="1"/>
    <col min="8" max="8" width="14.85546875" style="7" bestFit="1" customWidth="1"/>
    <col min="9" max="9" width="13.7109375" style="7" bestFit="1" customWidth="1"/>
    <col min="10" max="10" width="6.140625" style="7" bestFit="1" customWidth="1"/>
    <col min="11" max="11" width="9.28515625" style="7" bestFit="1" customWidth="1"/>
    <col min="12" max="12" width="6.42578125" style="7" bestFit="1" customWidth="1"/>
    <col min="13" max="13" width="6.28515625" style="7" bestFit="1" customWidth="1"/>
    <col min="14" max="14" width="9.140625" style="7" bestFit="1" customWidth="1"/>
    <col min="15" max="15" width="10" style="7" bestFit="1" customWidth="1"/>
    <col min="16" max="16" width="5.28515625" style="7" bestFit="1" customWidth="1"/>
    <col min="17" max="17" width="4.42578125" style="7" bestFit="1" customWidth="1"/>
    <col min="18" max="18" width="7.7109375" style="7" bestFit="1" customWidth="1"/>
    <col min="19" max="19" width="6" style="7" bestFit="1" customWidth="1"/>
    <col min="20" max="20" width="10.42578125" style="7" bestFit="1" customWidth="1"/>
    <col min="21" max="21" width="7.28515625" style="7" bestFit="1" customWidth="1"/>
    <col min="22" max="22" width="12.28515625" style="7" bestFit="1" customWidth="1"/>
    <col min="23" max="23" width="15" style="7" bestFit="1" customWidth="1"/>
    <col min="24" max="24" width="6.28515625" style="7" bestFit="1" customWidth="1"/>
    <col min="25" max="25" width="5.7109375" style="7" bestFit="1" customWidth="1"/>
    <col min="26" max="26" width="6.7109375" style="7" bestFit="1" customWidth="1"/>
    <col min="27" max="27" width="6.140625" style="7" bestFit="1" customWidth="1"/>
    <col min="28" max="28" width="10.7109375" style="7" bestFit="1" customWidth="1"/>
    <col min="29" max="16384" width="9.140625" style="7"/>
  </cols>
  <sheetData>
    <row r="1" spans="1:5" x14ac:dyDescent="0.25">
      <c r="A1" s="47" t="s">
        <v>113</v>
      </c>
    </row>
    <row r="2" spans="1:5" x14ac:dyDescent="0.25">
      <c r="A2" s="47" t="s">
        <v>114</v>
      </c>
    </row>
    <row r="3" spans="1:5" x14ac:dyDescent="0.25">
      <c r="A3" s="47" t="s">
        <v>38</v>
      </c>
    </row>
    <row r="4" spans="1:5" x14ac:dyDescent="0.25">
      <c r="A4" s="47" t="s">
        <v>40</v>
      </c>
    </row>
    <row r="5" spans="1:5" x14ac:dyDescent="0.25">
      <c r="A5" s="47" t="s">
        <v>94</v>
      </c>
    </row>
    <row r="6" spans="1:5" x14ac:dyDescent="0.25">
      <c r="A6" s="47" t="s">
        <v>128</v>
      </c>
    </row>
    <row r="8" spans="1:5" x14ac:dyDescent="0.25">
      <c r="D8" s="28" t="s">
        <v>39</v>
      </c>
      <c r="E8" t="s">
        <v>8</v>
      </c>
    </row>
    <row r="9" spans="1:5" x14ac:dyDescent="0.25">
      <c r="D9" s="29" t="s">
        <v>9</v>
      </c>
      <c r="E9" s="30">
        <v>2000</v>
      </c>
    </row>
    <row r="10" spans="1:5" x14ac:dyDescent="0.25">
      <c r="D10" s="31" t="s">
        <v>14</v>
      </c>
      <c r="E10" s="30">
        <v>1000</v>
      </c>
    </row>
    <row r="11" spans="1:5" x14ac:dyDescent="0.25">
      <c r="D11" s="31" t="s">
        <v>28</v>
      </c>
      <c r="E11" s="30">
        <v>500</v>
      </c>
    </row>
    <row r="12" spans="1:5" x14ac:dyDescent="0.25">
      <c r="D12" s="31" t="s">
        <v>32</v>
      </c>
      <c r="E12" s="30">
        <v>500</v>
      </c>
    </row>
    <row r="13" spans="1:5" x14ac:dyDescent="0.25">
      <c r="D13" s="29" t="s">
        <v>13</v>
      </c>
      <c r="E13" s="30">
        <v>935</v>
      </c>
    </row>
    <row r="14" spans="1:5" x14ac:dyDescent="0.25">
      <c r="D14" s="31" t="s">
        <v>15</v>
      </c>
      <c r="E14" s="30">
        <v>250</v>
      </c>
    </row>
    <row r="15" spans="1:5" x14ac:dyDescent="0.25">
      <c r="D15" s="31" t="s">
        <v>17</v>
      </c>
      <c r="E15" s="30">
        <v>20</v>
      </c>
    </row>
    <row r="16" spans="1:5" x14ac:dyDescent="0.25">
      <c r="D16" s="31" t="s">
        <v>18</v>
      </c>
      <c r="E16" s="30">
        <v>125</v>
      </c>
    </row>
    <row r="17" spans="4:5" x14ac:dyDescent="0.25">
      <c r="D17" s="31" t="s">
        <v>24</v>
      </c>
      <c r="E17" s="30">
        <v>20</v>
      </c>
    </row>
    <row r="18" spans="4:5" x14ac:dyDescent="0.25">
      <c r="D18" s="31" t="s">
        <v>30</v>
      </c>
      <c r="E18" s="30">
        <v>20</v>
      </c>
    </row>
    <row r="19" spans="4:5" x14ac:dyDescent="0.25">
      <c r="D19" s="31" t="s">
        <v>31</v>
      </c>
      <c r="E19" s="30">
        <v>125</v>
      </c>
    </row>
    <row r="20" spans="4:5" x14ac:dyDescent="0.25">
      <c r="D20" s="31" t="s">
        <v>33</v>
      </c>
      <c r="E20" s="30">
        <v>125</v>
      </c>
    </row>
    <row r="21" spans="4:5" x14ac:dyDescent="0.25">
      <c r="D21" s="31" t="s">
        <v>34</v>
      </c>
      <c r="E21" s="30">
        <v>250</v>
      </c>
    </row>
    <row r="22" spans="4:5" x14ac:dyDescent="0.25">
      <c r="D22" s="29" t="s">
        <v>11</v>
      </c>
      <c r="E22" s="30">
        <v>1427</v>
      </c>
    </row>
    <row r="23" spans="4:5" x14ac:dyDescent="0.25">
      <c r="D23" s="31" t="s">
        <v>12</v>
      </c>
      <c r="E23" s="30">
        <v>470</v>
      </c>
    </row>
    <row r="24" spans="4:5" x14ac:dyDescent="0.25">
      <c r="D24" s="31" t="s">
        <v>10</v>
      </c>
      <c r="E24" s="30">
        <v>74</v>
      </c>
    </row>
    <row r="25" spans="4:5" x14ac:dyDescent="0.25">
      <c r="D25" s="31" t="s">
        <v>25</v>
      </c>
      <c r="E25" s="30">
        <v>70</v>
      </c>
    </row>
    <row r="26" spans="4:5" x14ac:dyDescent="0.25">
      <c r="D26" s="31" t="s">
        <v>26</v>
      </c>
      <c r="E26" s="30">
        <v>74</v>
      </c>
    </row>
    <row r="27" spans="4:5" x14ac:dyDescent="0.25">
      <c r="D27" s="31" t="s">
        <v>27</v>
      </c>
      <c r="E27" s="30">
        <v>235</v>
      </c>
    </row>
    <row r="28" spans="4:5" x14ac:dyDescent="0.25">
      <c r="D28" s="31" t="s">
        <v>29</v>
      </c>
      <c r="E28" s="30">
        <v>74</v>
      </c>
    </row>
    <row r="29" spans="4:5" x14ac:dyDescent="0.25">
      <c r="D29" s="31" t="s">
        <v>35</v>
      </c>
      <c r="E29" s="30">
        <v>125</v>
      </c>
    </row>
    <row r="30" spans="4:5" x14ac:dyDescent="0.25">
      <c r="D30" s="31" t="s">
        <v>36</v>
      </c>
      <c r="E30" s="30">
        <v>70</v>
      </c>
    </row>
    <row r="31" spans="4:5" x14ac:dyDescent="0.25">
      <c r="D31" s="31" t="s">
        <v>37</v>
      </c>
      <c r="E31" s="30">
        <v>235</v>
      </c>
    </row>
    <row r="32" spans="4:5" x14ac:dyDescent="0.25">
      <c r="D32" s="29" t="s">
        <v>16</v>
      </c>
      <c r="E32" s="30">
        <v>4362</v>
      </c>
    </row>
    <row r="98" spans="2:5" x14ac:dyDescent="0.25">
      <c r="B98" s="8" t="s">
        <v>4</v>
      </c>
      <c r="C98" s="8" t="s">
        <v>5</v>
      </c>
      <c r="D98" s="8" t="s">
        <v>6</v>
      </c>
      <c r="E98" s="8" t="s">
        <v>7</v>
      </c>
    </row>
    <row r="99" spans="2:5" x14ac:dyDescent="0.25">
      <c r="B99" s="18">
        <v>42752</v>
      </c>
      <c r="C99" s="10" t="s">
        <v>9</v>
      </c>
      <c r="D99" s="10" t="s">
        <v>14</v>
      </c>
      <c r="E99" s="11">
        <v>1000</v>
      </c>
    </row>
    <row r="100" spans="2:5" x14ac:dyDescent="0.25">
      <c r="B100" s="18">
        <v>42752</v>
      </c>
      <c r="C100" s="10" t="s">
        <v>9</v>
      </c>
      <c r="D100" s="10" t="s">
        <v>32</v>
      </c>
      <c r="E100" s="11">
        <v>500</v>
      </c>
    </row>
    <row r="101" spans="2:5" x14ac:dyDescent="0.25">
      <c r="B101" s="19">
        <v>42752</v>
      </c>
      <c r="C101" s="10" t="s">
        <v>9</v>
      </c>
      <c r="D101" s="10" t="s">
        <v>28</v>
      </c>
      <c r="E101" s="11">
        <v>500</v>
      </c>
    </row>
    <row r="102" spans="2:5" x14ac:dyDescent="0.25">
      <c r="B102" s="18">
        <v>42786</v>
      </c>
      <c r="C102" s="10" t="s">
        <v>13</v>
      </c>
      <c r="D102" s="10" t="s">
        <v>17</v>
      </c>
      <c r="E102" s="11">
        <v>20</v>
      </c>
    </row>
    <row r="103" spans="2:5" x14ac:dyDescent="0.25">
      <c r="B103" s="18">
        <v>42791</v>
      </c>
      <c r="C103" s="10" t="s">
        <v>13</v>
      </c>
      <c r="D103" s="10" t="s">
        <v>18</v>
      </c>
      <c r="E103" s="11">
        <v>125</v>
      </c>
    </row>
    <row r="104" spans="2:5" x14ac:dyDescent="0.25">
      <c r="B104" s="18">
        <v>42756</v>
      </c>
      <c r="C104" s="10" t="s">
        <v>13</v>
      </c>
      <c r="D104" s="10" t="s">
        <v>15</v>
      </c>
      <c r="E104" s="11">
        <v>250</v>
      </c>
    </row>
    <row r="105" spans="2:5" x14ac:dyDescent="0.25">
      <c r="B105" s="18">
        <v>42786</v>
      </c>
      <c r="C105" s="10" t="s">
        <v>13</v>
      </c>
      <c r="D105" s="10" t="s">
        <v>24</v>
      </c>
      <c r="E105" s="11">
        <v>20</v>
      </c>
    </row>
    <row r="106" spans="2:5" x14ac:dyDescent="0.25">
      <c r="B106" s="18">
        <v>42791</v>
      </c>
      <c r="C106" s="10" t="s">
        <v>13</v>
      </c>
      <c r="D106" s="10" t="s">
        <v>33</v>
      </c>
      <c r="E106" s="11">
        <v>125</v>
      </c>
    </row>
    <row r="107" spans="2:5" x14ac:dyDescent="0.25">
      <c r="B107" s="19">
        <v>42756</v>
      </c>
      <c r="C107" s="10" t="s">
        <v>13</v>
      </c>
      <c r="D107" s="10" t="s">
        <v>34</v>
      </c>
      <c r="E107" s="11">
        <v>250</v>
      </c>
    </row>
    <row r="108" spans="2:5" x14ac:dyDescent="0.25">
      <c r="B108" s="19">
        <v>42786</v>
      </c>
      <c r="C108" s="10" t="s">
        <v>13</v>
      </c>
      <c r="D108" s="10" t="s">
        <v>30</v>
      </c>
      <c r="E108" s="11">
        <v>20</v>
      </c>
    </row>
    <row r="109" spans="2:5" x14ac:dyDescent="0.25">
      <c r="B109" s="19">
        <v>42791</v>
      </c>
      <c r="C109" s="10" t="s">
        <v>13</v>
      </c>
      <c r="D109" s="10" t="s">
        <v>31</v>
      </c>
      <c r="E109" s="11">
        <v>125</v>
      </c>
    </row>
    <row r="110" spans="2:5" x14ac:dyDescent="0.25">
      <c r="B110" s="18">
        <v>42736</v>
      </c>
      <c r="C110" s="10" t="s">
        <v>11</v>
      </c>
      <c r="D110" s="10" t="s">
        <v>10</v>
      </c>
      <c r="E110" s="11">
        <v>74</v>
      </c>
    </row>
    <row r="111" spans="2:5" x14ac:dyDescent="0.25">
      <c r="B111" s="18">
        <v>42750</v>
      </c>
      <c r="C111" s="10" t="s">
        <v>11</v>
      </c>
      <c r="D111" s="10" t="s">
        <v>12</v>
      </c>
      <c r="E111" s="11">
        <v>235</v>
      </c>
    </row>
    <row r="112" spans="2:5" x14ac:dyDescent="0.25">
      <c r="B112" s="18">
        <v>42756</v>
      </c>
      <c r="C112" s="10" t="s">
        <v>11</v>
      </c>
      <c r="D112" s="10" t="s">
        <v>35</v>
      </c>
      <c r="E112" s="11">
        <v>125</v>
      </c>
    </row>
    <row r="113" spans="2:5" x14ac:dyDescent="0.25">
      <c r="B113" s="18">
        <v>42768</v>
      </c>
      <c r="C113" s="10" t="s">
        <v>11</v>
      </c>
      <c r="D113" s="10" t="s">
        <v>12</v>
      </c>
      <c r="E113" s="11">
        <v>235</v>
      </c>
    </row>
    <row r="114" spans="2:5" x14ac:dyDescent="0.25">
      <c r="B114" s="18">
        <v>42736</v>
      </c>
      <c r="C114" s="10" t="s">
        <v>11</v>
      </c>
      <c r="D114" s="10" t="s">
        <v>26</v>
      </c>
      <c r="E114" s="11">
        <v>74</v>
      </c>
    </row>
    <row r="115" spans="2:5" x14ac:dyDescent="0.25">
      <c r="B115" s="18">
        <v>42750</v>
      </c>
      <c r="C115" s="10" t="s">
        <v>11</v>
      </c>
      <c r="D115" s="10" t="s">
        <v>25</v>
      </c>
      <c r="E115" s="11">
        <v>70</v>
      </c>
    </row>
    <row r="116" spans="2:5" x14ac:dyDescent="0.25">
      <c r="B116" s="18">
        <v>42768</v>
      </c>
      <c r="C116" s="10" t="s">
        <v>11</v>
      </c>
      <c r="D116" s="10" t="s">
        <v>27</v>
      </c>
      <c r="E116" s="11">
        <v>235</v>
      </c>
    </row>
    <row r="117" spans="2:5" x14ac:dyDescent="0.25">
      <c r="B117" s="19">
        <v>42736</v>
      </c>
      <c r="C117" s="10" t="s">
        <v>11</v>
      </c>
      <c r="D117" s="10" t="s">
        <v>29</v>
      </c>
      <c r="E117" s="11">
        <v>74</v>
      </c>
    </row>
    <row r="118" spans="2:5" x14ac:dyDescent="0.25">
      <c r="B118" s="19">
        <v>42750</v>
      </c>
      <c r="C118" s="10" t="s">
        <v>11</v>
      </c>
      <c r="D118" s="10" t="s">
        <v>36</v>
      </c>
      <c r="E118" s="11">
        <v>70</v>
      </c>
    </row>
    <row r="119" spans="2:5" x14ac:dyDescent="0.25">
      <c r="B119" s="19">
        <v>42768</v>
      </c>
      <c r="C119" s="10" t="s">
        <v>11</v>
      </c>
      <c r="D119" s="10" t="s">
        <v>37</v>
      </c>
      <c r="E119" s="11">
        <v>235</v>
      </c>
    </row>
  </sheetData>
  <hyperlinks>
    <hyperlink ref="A6" r:id="rId2"/>
  </hyperlinks>
  <pageMargins left="0.7" right="0.7" top="0.75" bottom="0.75" header="0.3" footer="0.3"/>
  <pageSetup orientation="portrait" r:id="rId3"/>
  <drawing r:id="rId4"/>
  <tableParts count="1">
    <tablePart r:id="rId5"/>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A4"/>
  <sheetViews>
    <sheetView showGridLines="0" workbookViewId="0"/>
  </sheetViews>
  <sheetFormatPr defaultColWidth="9.140625" defaultRowHeight="15" x14ac:dyDescent="0.25"/>
  <cols>
    <col min="1" max="1" width="9.140625" style="6"/>
    <col min="2" max="16384" width="9.140625" style="7"/>
  </cols>
  <sheetData>
    <row r="1" spans="1:1" x14ac:dyDescent="0.25">
      <c r="A1" s="47" t="s">
        <v>115</v>
      </c>
    </row>
    <row r="2" spans="1:1" x14ac:dyDescent="0.25">
      <c r="A2" s="47" t="s">
        <v>116</v>
      </c>
    </row>
    <row r="3" spans="1:1" x14ac:dyDescent="0.25">
      <c r="A3" s="47" t="s">
        <v>94</v>
      </c>
    </row>
    <row r="4" spans="1:1" x14ac:dyDescent="0.25">
      <c r="A4" s="47" t="s">
        <v>128</v>
      </c>
    </row>
  </sheetData>
  <hyperlinks>
    <hyperlink ref="A4" r:id="rId1"/>
  </hyperlinks>
  <pageMargins left="0.7" right="0.7" top="0.75" bottom="0.75" header="0.3" footer="0.3"/>
  <pageSetup orientation="portrait" r:id="rId2"/>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K122"/>
  <sheetViews>
    <sheetView showGridLines="0" workbookViewId="0">
      <selection activeCell="A14" sqref="A14"/>
    </sheetView>
  </sheetViews>
  <sheetFormatPr defaultColWidth="9.140625" defaultRowHeight="15" x14ac:dyDescent="0.25"/>
  <cols>
    <col min="1" max="1" width="9.140625" style="50"/>
    <col min="2" max="2" width="13.140625" style="51" bestFit="1" customWidth="1"/>
    <col min="3" max="3" width="14.85546875" style="51" bestFit="1" customWidth="1"/>
    <col min="4" max="23" width="9.140625" style="51" customWidth="1"/>
    <col min="24" max="16384" width="9.140625" style="51"/>
  </cols>
  <sheetData>
    <row r="1" spans="1:11" ht="15" customHeight="1" x14ac:dyDescent="0.25">
      <c r="A1" s="63" t="s">
        <v>136</v>
      </c>
    </row>
    <row r="2" spans="1:11" ht="15" customHeight="1" x14ac:dyDescent="0.25">
      <c r="A2" s="50" t="s">
        <v>133</v>
      </c>
    </row>
    <row r="3" spans="1:11" ht="15" customHeight="1" x14ac:dyDescent="0.25">
      <c r="A3" s="50" t="s">
        <v>131</v>
      </c>
    </row>
    <row r="4" spans="1:11" ht="15" customHeight="1" x14ac:dyDescent="0.25">
      <c r="A4" s="50" t="s">
        <v>135</v>
      </c>
    </row>
    <row r="5" spans="1:11" ht="15" customHeight="1" x14ac:dyDescent="0.3">
      <c r="A5" s="47" t="s">
        <v>94</v>
      </c>
      <c r="I5" s="52" t="str">
        <f>IF(AND($B$15="Airfare",$C$36=74),"Nice going! You added"," ")</f>
        <v xml:space="preserve"> </v>
      </c>
    </row>
    <row r="6" spans="1:11" ht="15" customHeight="1" x14ac:dyDescent="0.3">
      <c r="A6" s="47" t="s">
        <v>128</v>
      </c>
      <c r="I6" s="52" t="str">
        <f>IF(AND($B$15="Airfare",$C$36=74),"a second row field to"," ")</f>
        <v xml:space="preserve"> </v>
      </c>
    </row>
    <row r="7" spans="1:11" ht="15" customHeight="1" x14ac:dyDescent="0.3">
      <c r="I7" s="52" t="str">
        <f>IF(AND($B$15="Airfare",$C$36=74),"the PivotTable. Scroll "," ")</f>
        <v xml:space="preserve"> </v>
      </c>
    </row>
    <row r="8" spans="1:11" ht="15" customHeight="1" x14ac:dyDescent="0.3">
      <c r="I8" s="52" t="str">
        <f>IF(AND($B$15="Airfare",$C$36=74),"down and click Next..."," ")</f>
        <v xml:space="preserve"> </v>
      </c>
    </row>
    <row r="9" spans="1:11" ht="15" customHeight="1" x14ac:dyDescent="0.3">
      <c r="K9" s="52"/>
    </row>
    <row r="10" spans="1:11" ht="15" customHeight="1" x14ac:dyDescent="0.25"/>
    <row r="11" spans="1:11" ht="15" customHeight="1" x14ac:dyDescent="0.25"/>
    <row r="12" spans="1:11" ht="15" customHeight="1" x14ac:dyDescent="0.25"/>
    <row r="13" spans="1:11" ht="15" customHeight="1" x14ac:dyDescent="0.25">
      <c r="B13" s="53" t="s">
        <v>39</v>
      </c>
      <c r="C13" s="54" t="s">
        <v>8</v>
      </c>
    </row>
    <row r="14" spans="1:11" x14ac:dyDescent="0.25">
      <c r="B14" s="29" t="s">
        <v>9</v>
      </c>
      <c r="C14" s="55">
        <v>2000</v>
      </c>
    </row>
    <row r="15" spans="1:11" x14ac:dyDescent="0.25">
      <c r="B15" s="29" t="s">
        <v>13</v>
      </c>
      <c r="C15" s="55">
        <v>935</v>
      </c>
    </row>
    <row r="16" spans="1:11" x14ac:dyDescent="0.25">
      <c r="B16" s="29" t="s">
        <v>11</v>
      </c>
      <c r="C16" s="55">
        <v>1427</v>
      </c>
    </row>
    <row r="17" spans="2:3" x14ac:dyDescent="0.25">
      <c r="B17" s="29" t="s">
        <v>16</v>
      </c>
      <c r="C17" s="55">
        <v>4362</v>
      </c>
    </row>
    <row r="18" spans="2:3" x14ac:dyDescent="0.25">
      <c r="B18"/>
      <c r="C18"/>
    </row>
    <row r="19" spans="2:3" x14ac:dyDescent="0.25">
      <c r="B19"/>
      <c r="C19"/>
    </row>
    <row r="20" spans="2:3" x14ac:dyDescent="0.25">
      <c r="B20"/>
      <c r="C20"/>
    </row>
    <row r="21" spans="2:3" x14ac:dyDescent="0.25">
      <c r="B21"/>
      <c r="C21"/>
    </row>
    <row r="22" spans="2:3" x14ac:dyDescent="0.25">
      <c r="B22"/>
      <c r="C22"/>
    </row>
    <row r="23" spans="2:3" x14ac:dyDescent="0.25">
      <c r="B23"/>
      <c r="C23"/>
    </row>
    <row r="24" spans="2:3" x14ac:dyDescent="0.25">
      <c r="B24"/>
      <c r="C24"/>
    </row>
    <row r="25" spans="2:3" x14ac:dyDescent="0.25">
      <c r="B25"/>
      <c r="C25"/>
    </row>
    <row r="26" spans="2:3" x14ac:dyDescent="0.25">
      <c r="B26"/>
      <c r="C26"/>
    </row>
    <row r="27" spans="2:3" x14ac:dyDescent="0.25">
      <c r="B27"/>
      <c r="C27"/>
    </row>
    <row r="28" spans="2:3" x14ac:dyDescent="0.25">
      <c r="B28"/>
      <c r="C28"/>
    </row>
    <row r="29" spans="2:3" x14ac:dyDescent="0.25">
      <c r="B29"/>
      <c r="C29"/>
    </row>
    <row r="30" spans="2:3" x14ac:dyDescent="0.25">
      <c r="B30"/>
      <c r="C30"/>
    </row>
    <row r="31" spans="2:3" x14ac:dyDescent="0.25">
      <c r="B31"/>
      <c r="C31"/>
    </row>
    <row r="32" spans="2:3" x14ac:dyDescent="0.25">
      <c r="B32"/>
      <c r="C32"/>
    </row>
    <row r="33" spans="2:3" x14ac:dyDescent="0.25">
      <c r="B33"/>
      <c r="C33"/>
    </row>
    <row r="34" spans="2:3" x14ac:dyDescent="0.25">
      <c r="B34"/>
      <c r="C34"/>
    </row>
    <row r="35" spans="2:3" x14ac:dyDescent="0.25">
      <c r="B35"/>
      <c r="C35"/>
    </row>
    <row r="36" spans="2:3" x14ac:dyDescent="0.25">
      <c r="B36"/>
      <c r="C36"/>
    </row>
    <row r="37" spans="2:3" x14ac:dyDescent="0.25">
      <c r="B37"/>
      <c r="C37"/>
    </row>
    <row r="101" spans="2:5" x14ac:dyDescent="0.25">
      <c r="B101" s="56" t="s">
        <v>4</v>
      </c>
      <c r="C101" s="56" t="s">
        <v>5</v>
      </c>
      <c r="D101" s="56" t="s">
        <v>6</v>
      </c>
      <c r="E101" s="56" t="s">
        <v>7</v>
      </c>
    </row>
    <row r="102" spans="2:5" x14ac:dyDescent="0.25">
      <c r="B102" s="18">
        <v>42752</v>
      </c>
      <c r="C102" s="57" t="s">
        <v>9</v>
      </c>
      <c r="D102" s="57" t="s">
        <v>14</v>
      </c>
      <c r="E102" s="58">
        <v>1000</v>
      </c>
    </row>
    <row r="103" spans="2:5" x14ac:dyDescent="0.25">
      <c r="B103" s="18">
        <v>42752</v>
      </c>
      <c r="C103" s="57" t="s">
        <v>9</v>
      </c>
      <c r="D103" s="57" t="s">
        <v>32</v>
      </c>
      <c r="E103" s="58">
        <v>500</v>
      </c>
    </row>
    <row r="104" spans="2:5" x14ac:dyDescent="0.25">
      <c r="B104" s="19">
        <v>42752</v>
      </c>
      <c r="C104" s="57" t="s">
        <v>9</v>
      </c>
      <c r="D104" s="57" t="s">
        <v>28</v>
      </c>
      <c r="E104" s="58">
        <v>500</v>
      </c>
    </row>
    <row r="105" spans="2:5" x14ac:dyDescent="0.25">
      <c r="B105" s="18">
        <v>42786</v>
      </c>
      <c r="C105" s="57" t="s">
        <v>13</v>
      </c>
      <c r="D105" s="57" t="s">
        <v>17</v>
      </c>
      <c r="E105" s="58">
        <v>20</v>
      </c>
    </row>
    <row r="106" spans="2:5" x14ac:dyDescent="0.25">
      <c r="B106" s="18">
        <v>42791</v>
      </c>
      <c r="C106" s="57" t="s">
        <v>13</v>
      </c>
      <c r="D106" s="57" t="s">
        <v>18</v>
      </c>
      <c r="E106" s="58">
        <v>125</v>
      </c>
    </row>
    <row r="107" spans="2:5" x14ac:dyDescent="0.25">
      <c r="B107" s="18">
        <v>42756</v>
      </c>
      <c r="C107" s="57" t="s">
        <v>13</v>
      </c>
      <c r="D107" s="57" t="s">
        <v>15</v>
      </c>
      <c r="E107" s="58">
        <v>250</v>
      </c>
    </row>
    <row r="108" spans="2:5" x14ac:dyDescent="0.25">
      <c r="B108" s="18">
        <v>42786</v>
      </c>
      <c r="C108" s="57" t="s">
        <v>13</v>
      </c>
      <c r="D108" s="57" t="s">
        <v>24</v>
      </c>
      <c r="E108" s="58">
        <v>20</v>
      </c>
    </row>
    <row r="109" spans="2:5" x14ac:dyDescent="0.25">
      <c r="B109" s="18">
        <v>42791</v>
      </c>
      <c r="C109" s="57" t="s">
        <v>13</v>
      </c>
      <c r="D109" s="57" t="s">
        <v>33</v>
      </c>
      <c r="E109" s="58">
        <v>125</v>
      </c>
    </row>
    <row r="110" spans="2:5" x14ac:dyDescent="0.25">
      <c r="B110" s="19">
        <v>42756</v>
      </c>
      <c r="C110" s="57" t="s">
        <v>13</v>
      </c>
      <c r="D110" s="57" t="s">
        <v>34</v>
      </c>
      <c r="E110" s="58">
        <v>250</v>
      </c>
    </row>
    <row r="111" spans="2:5" x14ac:dyDescent="0.25">
      <c r="B111" s="19">
        <v>42786</v>
      </c>
      <c r="C111" s="57" t="s">
        <v>13</v>
      </c>
      <c r="D111" s="57" t="s">
        <v>30</v>
      </c>
      <c r="E111" s="58">
        <v>20</v>
      </c>
    </row>
    <row r="112" spans="2:5" x14ac:dyDescent="0.25">
      <c r="B112" s="19">
        <v>42791</v>
      </c>
      <c r="C112" s="57" t="s">
        <v>13</v>
      </c>
      <c r="D112" s="57" t="s">
        <v>31</v>
      </c>
      <c r="E112" s="58">
        <v>125</v>
      </c>
    </row>
    <row r="113" spans="2:11" x14ac:dyDescent="0.25">
      <c r="B113" s="18">
        <v>42736</v>
      </c>
      <c r="C113" s="57" t="s">
        <v>11</v>
      </c>
      <c r="D113" s="57" t="s">
        <v>10</v>
      </c>
      <c r="E113" s="58">
        <v>74</v>
      </c>
    </row>
    <row r="114" spans="2:11" x14ac:dyDescent="0.25">
      <c r="B114" s="18">
        <v>42750</v>
      </c>
      <c r="C114" s="57" t="s">
        <v>11</v>
      </c>
      <c r="D114" s="57" t="s">
        <v>12</v>
      </c>
      <c r="E114" s="58">
        <v>235</v>
      </c>
    </row>
    <row r="115" spans="2:11" x14ac:dyDescent="0.25">
      <c r="B115" s="18">
        <v>42756</v>
      </c>
      <c r="C115" s="57" t="s">
        <v>11</v>
      </c>
      <c r="D115" s="57" t="s">
        <v>35</v>
      </c>
      <c r="E115" s="58">
        <v>125</v>
      </c>
    </row>
    <row r="116" spans="2:11" x14ac:dyDescent="0.25">
      <c r="B116" s="18">
        <v>42768</v>
      </c>
      <c r="C116" s="57" t="s">
        <v>11</v>
      </c>
      <c r="D116" s="57" t="s">
        <v>12</v>
      </c>
      <c r="E116" s="58">
        <v>235</v>
      </c>
    </row>
    <row r="117" spans="2:11" x14ac:dyDescent="0.25">
      <c r="B117" s="18">
        <v>42736</v>
      </c>
      <c r="C117" s="57" t="s">
        <v>11</v>
      </c>
      <c r="D117" s="57" t="s">
        <v>26</v>
      </c>
      <c r="E117" s="58">
        <v>74</v>
      </c>
    </row>
    <row r="118" spans="2:11" x14ac:dyDescent="0.25">
      <c r="B118" s="18">
        <v>42750</v>
      </c>
      <c r="C118" s="57" t="s">
        <v>11</v>
      </c>
      <c r="D118" s="57" t="s">
        <v>25</v>
      </c>
      <c r="E118" s="58">
        <v>70</v>
      </c>
    </row>
    <row r="119" spans="2:11" x14ac:dyDescent="0.25">
      <c r="B119" s="18">
        <v>42768</v>
      </c>
      <c r="C119" s="57" t="s">
        <v>11</v>
      </c>
      <c r="D119" s="57" t="s">
        <v>27</v>
      </c>
      <c r="E119" s="58">
        <v>235</v>
      </c>
    </row>
    <row r="120" spans="2:11" x14ac:dyDescent="0.25">
      <c r="B120" s="19">
        <v>42736</v>
      </c>
      <c r="C120" s="57" t="s">
        <v>11</v>
      </c>
      <c r="D120" s="57" t="s">
        <v>29</v>
      </c>
      <c r="E120" s="58">
        <v>74</v>
      </c>
    </row>
    <row r="121" spans="2:11" x14ac:dyDescent="0.25">
      <c r="B121" s="19">
        <v>42750</v>
      </c>
      <c r="C121" s="57" t="s">
        <v>11</v>
      </c>
      <c r="D121" s="57" t="s">
        <v>36</v>
      </c>
      <c r="E121" s="58">
        <v>70</v>
      </c>
    </row>
    <row r="122" spans="2:11" x14ac:dyDescent="0.25">
      <c r="B122" s="19">
        <v>42768</v>
      </c>
      <c r="C122" s="57" t="s">
        <v>11</v>
      </c>
      <c r="D122" s="57" t="s">
        <v>37</v>
      </c>
      <c r="E122" s="58">
        <v>235</v>
      </c>
      <c r="K122" s="40"/>
    </row>
  </sheetData>
  <hyperlinks>
    <hyperlink ref="A6" r:id="rId2"/>
  </hyperlinks>
  <pageMargins left="0.7" right="0.7" top="0.75" bottom="0.75" header="0.3" footer="0.3"/>
  <pageSetup orientation="portrait" r:id="rId3"/>
  <drawing r:id="rId4"/>
  <tableParts count="1">
    <tablePart r:id="rId5"/>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I121"/>
  <sheetViews>
    <sheetView showGridLines="0" workbookViewId="0"/>
  </sheetViews>
  <sheetFormatPr defaultColWidth="9.140625" defaultRowHeight="15" x14ac:dyDescent="0.25"/>
  <cols>
    <col min="1" max="1" width="9.140625" style="6"/>
    <col min="2" max="5" width="9.140625" style="7"/>
    <col min="6" max="6" width="17.85546875" style="7" bestFit="1" customWidth="1"/>
    <col min="7" max="7" width="13.7109375" style="7" bestFit="1" customWidth="1"/>
    <col min="8" max="16384" width="9.140625" style="7"/>
  </cols>
  <sheetData>
    <row r="1" spans="1:9" x14ac:dyDescent="0.25">
      <c r="A1" s="47" t="s">
        <v>41</v>
      </c>
    </row>
    <row r="2" spans="1:9" x14ac:dyDescent="0.25">
      <c r="A2" s="47" t="s">
        <v>117</v>
      </c>
    </row>
    <row r="3" spans="1:9" x14ac:dyDescent="0.25">
      <c r="A3" s="47" t="s">
        <v>94</v>
      </c>
    </row>
    <row r="4" spans="1:9" x14ac:dyDescent="0.25">
      <c r="A4" s="47" t="s">
        <v>128</v>
      </c>
    </row>
    <row r="6" spans="1:9" ht="18.75" x14ac:dyDescent="0.3">
      <c r="F6" s="16" t="str">
        <f>IF(AND($F$9="Kelly",$G$9=935),"Nice!"," ")</f>
        <v xml:space="preserve"> </v>
      </c>
    </row>
    <row r="7" spans="1:9" x14ac:dyDescent="0.25">
      <c r="F7" s="28" t="s">
        <v>39</v>
      </c>
      <c r="G7" t="s">
        <v>8</v>
      </c>
    </row>
    <row r="8" spans="1:9" ht="18.75" x14ac:dyDescent="0.3">
      <c r="F8" s="29" t="s">
        <v>9</v>
      </c>
      <c r="G8" s="34">
        <v>2000</v>
      </c>
      <c r="I8" s="16"/>
    </row>
    <row r="9" spans="1:9" ht="18.75" x14ac:dyDescent="0.3">
      <c r="F9" s="31" t="s">
        <v>14</v>
      </c>
      <c r="G9" s="34">
        <v>1000</v>
      </c>
      <c r="I9" s="16"/>
    </row>
    <row r="10" spans="1:9" x14ac:dyDescent="0.25">
      <c r="F10" s="31" t="s">
        <v>28</v>
      </c>
      <c r="G10" s="34">
        <v>500</v>
      </c>
    </row>
    <row r="11" spans="1:9" x14ac:dyDescent="0.25">
      <c r="F11" s="31" t="s">
        <v>32</v>
      </c>
      <c r="G11" s="34">
        <v>500</v>
      </c>
    </row>
    <row r="12" spans="1:9" x14ac:dyDescent="0.25">
      <c r="F12" s="29" t="s">
        <v>13</v>
      </c>
      <c r="G12" s="34">
        <v>935</v>
      </c>
    </row>
    <row r="13" spans="1:9" x14ac:dyDescent="0.25">
      <c r="F13" s="31" t="s">
        <v>15</v>
      </c>
      <c r="G13" s="34">
        <v>250</v>
      </c>
    </row>
    <row r="14" spans="1:9" x14ac:dyDescent="0.25">
      <c r="F14" s="31" t="s">
        <v>24</v>
      </c>
      <c r="G14" s="34">
        <v>20</v>
      </c>
    </row>
    <row r="15" spans="1:9" x14ac:dyDescent="0.25">
      <c r="F15" s="31" t="s">
        <v>31</v>
      </c>
      <c r="G15" s="34">
        <v>125</v>
      </c>
    </row>
    <row r="16" spans="1:9" x14ac:dyDescent="0.25">
      <c r="F16" s="31" t="s">
        <v>17</v>
      </c>
      <c r="G16" s="34">
        <v>20</v>
      </c>
    </row>
    <row r="17" spans="6:7" x14ac:dyDescent="0.25">
      <c r="F17" s="31" t="s">
        <v>30</v>
      </c>
      <c r="G17" s="34">
        <v>20</v>
      </c>
    </row>
    <row r="18" spans="6:7" x14ac:dyDescent="0.25">
      <c r="F18" s="31" t="s">
        <v>18</v>
      </c>
      <c r="G18" s="34">
        <v>125</v>
      </c>
    </row>
    <row r="19" spans="6:7" x14ac:dyDescent="0.25">
      <c r="F19" s="31" t="s">
        <v>33</v>
      </c>
      <c r="G19" s="34">
        <v>125</v>
      </c>
    </row>
    <row r="20" spans="6:7" x14ac:dyDescent="0.25">
      <c r="F20" s="31" t="s">
        <v>34</v>
      </c>
      <c r="G20" s="34">
        <v>250</v>
      </c>
    </row>
    <row r="21" spans="6:7" x14ac:dyDescent="0.25">
      <c r="F21" s="29" t="s">
        <v>11</v>
      </c>
      <c r="G21" s="34">
        <v>1427</v>
      </c>
    </row>
    <row r="22" spans="6:7" x14ac:dyDescent="0.25">
      <c r="F22" s="31" t="s">
        <v>29</v>
      </c>
      <c r="G22" s="34">
        <v>74</v>
      </c>
    </row>
    <row r="23" spans="6:7" x14ac:dyDescent="0.25">
      <c r="F23" s="31" t="s">
        <v>27</v>
      </c>
      <c r="G23" s="34">
        <v>235</v>
      </c>
    </row>
    <row r="24" spans="6:7" x14ac:dyDescent="0.25">
      <c r="F24" s="31" t="s">
        <v>25</v>
      </c>
      <c r="G24" s="34">
        <v>70</v>
      </c>
    </row>
    <row r="25" spans="6:7" x14ac:dyDescent="0.25">
      <c r="F25" s="31" t="s">
        <v>12</v>
      </c>
      <c r="G25" s="34">
        <v>470</v>
      </c>
    </row>
    <row r="26" spans="6:7" x14ac:dyDescent="0.25">
      <c r="F26" s="31" t="s">
        <v>10</v>
      </c>
      <c r="G26" s="34">
        <v>74</v>
      </c>
    </row>
    <row r="27" spans="6:7" x14ac:dyDescent="0.25">
      <c r="F27" s="31" t="s">
        <v>26</v>
      </c>
      <c r="G27" s="34">
        <v>74</v>
      </c>
    </row>
    <row r="28" spans="6:7" x14ac:dyDescent="0.25">
      <c r="F28" s="31" t="s">
        <v>35</v>
      </c>
      <c r="G28" s="34">
        <v>125</v>
      </c>
    </row>
    <row r="29" spans="6:7" x14ac:dyDescent="0.25">
      <c r="F29" s="31" t="s">
        <v>36</v>
      </c>
      <c r="G29" s="34">
        <v>70</v>
      </c>
    </row>
    <row r="30" spans="6:7" x14ac:dyDescent="0.25">
      <c r="F30" s="31" t="s">
        <v>37</v>
      </c>
      <c r="G30" s="34">
        <v>235</v>
      </c>
    </row>
    <row r="31" spans="6:7" x14ac:dyDescent="0.25">
      <c r="F31" s="29" t="s">
        <v>16</v>
      </c>
      <c r="G31" s="34">
        <v>4362</v>
      </c>
    </row>
    <row r="100" spans="2:5" x14ac:dyDescent="0.25">
      <c r="B100" s="8" t="s">
        <v>4</v>
      </c>
      <c r="C100" s="8" t="s">
        <v>5</v>
      </c>
      <c r="D100" s="8" t="s">
        <v>6</v>
      </c>
      <c r="E100" s="8" t="s">
        <v>7</v>
      </c>
    </row>
    <row r="101" spans="2:5" x14ac:dyDescent="0.25">
      <c r="B101" s="18">
        <v>42752</v>
      </c>
      <c r="C101" s="10" t="s">
        <v>9</v>
      </c>
      <c r="D101" s="10" t="s">
        <v>14</v>
      </c>
      <c r="E101" s="11">
        <v>1000</v>
      </c>
    </row>
    <row r="102" spans="2:5" x14ac:dyDescent="0.25">
      <c r="B102" s="18">
        <v>42752</v>
      </c>
      <c r="C102" s="10" t="s">
        <v>9</v>
      </c>
      <c r="D102" s="10" t="s">
        <v>32</v>
      </c>
      <c r="E102" s="11">
        <v>500</v>
      </c>
    </row>
    <row r="103" spans="2:5" x14ac:dyDescent="0.25">
      <c r="B103" s="19">
        <v>42752</v>
      </c>
      <c r="C103" s="10" t="s">
        <v>9</v>
      </c>
      <c r="D103" s="10" t="s">
        <v>28</v>
      </c>
      <c r="E103" s="11">
        <v>500</v>
      </c>
    </row>
    <row r="104" spans="2:5" x14ac:dyDescent="0.25">
      <c r="B104" s="18">
        <v>42786</v>
      </c>
      <c r="C104" s="10" t="s">
        <v>13</v>
      </c>
      <c r="D104" s="10" t="s">
        <v>17</v>
      </c>
      <c r="E104" s="11">
        <v>20</v>
      </c>
    </row>
    <row r="105" spans="2:5" x14ac:dyDescent="0.25">
      <c r="B105" s="18">
        <v>42791</v>
      </c>
      <c r="C105" s="10" t="s">
        <v>13</v>
      </c>
      <c r="D105" s="10" t="s">
        <v>18</v>
      </c>
      <c r="E105" s="11">
        <v>125</v>
      </c>
    </row>
    <row r="106" spans="2:5" x14ac:dyDescent="0.25">
      <c r="B106" s="18">
        <v>42756</v>
      </c>
      <c r="C106" s="10" t="s">
        <v>13</v>
      </c>
      <c r="D106" s="10" t="s">
        <v>15</v>
      </c>
      <c r="E106" s="11">
        <v>250</v>
      </c>
    </row>
    <row r="107" spans="2:5" x14ac:dyDescent="0.25">
      <c r="B107" s="18">
        <v>42786</v>
      </c>
      <c r="C107" s="10" t="s">
        <v>13</v>
      </c>
      <c r="D107" s="10" t="s">
        <v>24</v>
      </c>
      <c r="E107" s="11">
        <v>20</v>
      </c>
    </row>
    <row r="108" spans="2:5" x14ac:dyDescent="0.25">
      <c r="B108" s="18">
        <v>42791</v>
      </c>
      <c r="C108" s="10" t="s">
        <v>13</v>
      </c>
      <c r="D108" s="10" t="s">
        <v>33</v>
      </c>
      <c r="E108" s="11">
        <v>125</v>
      </c>
    </row>
    <row r="109" spans="2:5" x14ac:dyDescent="0.25">
      <c r="B109" s="19">
        <v>42756</v>
      </c>
      <c r="C109" s="10" t="s">
        <v>13</v>
      </c>
      <c r="D109" s="10" t="s">
        <v>34</v>
      </c>
      <c r="E109" s="11">
        <v>250</v>
      </c>
    </row>
    <row r="110" spans="2:5" x14ac:dyDescent="0.25">
      <c r="B110" s="19">
        <v>42786</v>
      </c>
      <c r="C110" s="10" t="s">
        <v>13</v>
      </c>
      <c r="D110" s="10" t="s">
        <v>30</v>
      </c>
      <c r="E110" s="11">
        <v>20</v>
      </c>
    </row>
    <row r="111" spans="2:5" x14ac:dyDescent="0.25">
      <c r="B111" s="19">
        <v>42791</v>
      </c>
      <c r="C111" s="10" t="s">
        <v>13</v>
      </c>
      <c r="D111" s="10" t="s">
        <v>31</v>
      </c>
      <c r="E111" s="11">
        <v>125</v>
      </c>
    </row>
    <row r="112" spans="2:5" x14ac:dyDescent="0.25">
      <c r="B112" s="18">
        <v>42736</v>
      </c>
      <c r="C112" s="10" t="s">
        <v>11</v>
      </c>
      <c r="D112" s="10" t="s">
        <v>10</v>
      </c>
      <c r="E112" s="11">
        <v>74</v>
      </c>
    </row>
    <row r="113" spans="2:9" x14ac:dyDescent="0.25">
      <c r="B113" s="18">
        <v>42750</v>
      </c>
      <c r="C113" s="10" t="s">
        <v>11</v>
      </c>
      <c r="D113" s="10" t="s">
        <v>12</v>
      </c>
      <c r="E113" s="11">
        <v>235</v>
      </c>
    </row>
    <row r="114" spans="2:9" x14ac:dyDescent="0.25">
      <c r="B114" s="18">
        <v>42756</v>
      </c>
      <c r="C114" s="10" t="s">
        <v>11</v>
      </c>
      <c r="D114" s="10" t="s">
        <v>35</v>
      </c>
      <c r="E114" s="11">
        <v>125</v>
      </c>
    </row>
    <row r="115" spans="2:9" x14ac:dyDescent="0.25">
      <c r="B115" s="18">
        <v>42768</v>
      </c>
      <c r="C115" s="10" t="s">
        <v>11</v>
      </c>
      <c r="D115" s="10" t="s">
        <v>12</v>
      </c>
      <c r="E115" s="11">
        <v>235</v>
      </c>
    </row>
    <row r="116" spans="2:9" x14ac:dyDescent="0.25">
      <c r="B116" s="18">
        <v>42736</v>
      </c>
      <c r="C116" s="10" t="s">
        <v>11</v>
      </c>
      <c r="D116" s="10" t="s">
        <v>26</v>
      </c>
      <c r="E116" s="11">
        <v>74</v>
      </c>
    </row>
    <row r="117" spans="2:9" x14ac:dyDescent="0.25">
      <c r="B117" s="18">
        <v>42750</v>
      </c>
      <c r="C117" s="10" t="s">
        <v>11</v>
      </c>
      <c r="D117" s="10" t="s">
        <v>25</v>
      </c>
      <c r="E117" s="11">
        <v>70</v>
      </c>
    </row>
    <row r="118" spans="2:9" x14ac:dyDescent="0.25">
      <c r="B118" s="18">
        <v>42768</v>
      </c>
      <c r="C118" s="10" t="s">
        <v>11</v>
      </c>
      <c r="D118" s="10" t="s">
        <v>27</v>
      </c>
      <c r="E118" s="11">
        <v>235</v>
      </c>
    </row>
    <row r="119" spans="2:9" x14ac:dyDescent="0.25">
      <c r="B119" s="19">
        <v>42736</v>
      </c>
      <c r="C119" s="10" t="s">
        <v>11</v>
      </c>
      <c r="D119" s="10" t="s">
        <v>29</v>
      </c>
      <c r="E119" s="11">
        <v>74</v>
      </c>
    </row>
    <row r="120" spans="2:9" x14ac:dyDescent="0.25">
      <c r="B120" s="19">
        <v>42750</v>
      </c>
      <c r="C120" s="10" t="s">
        <v>11</v>
      </c>
      <c r="D120" s="10" t="s">
        <v>36</v>
      </c>
      <c r="E120" s="11">
        <v>70</v>
      </c>
    </row>
    <row r="121" spans="2:9" x14ac:dyDescent="0.25">
      <c r="B121" s="19">
        <v>42768</v>
      </c>
      <c r="C121" s="10" t="s">
        <v>11</v>
      </c>
      <c r="D121" s="10" t="s">
        <v>37</v>
      </c>
      <c r="E121" s="11">
        <v>235</v>
      </c>
      <c r="I121" s="40"/>
    </row>
  </sheetData>
  <hyperlinks>
    <hyperlink ref="A4" r:id="rId2"/>
  </hyperlinks>
  <pageMargins left="0.7" right="0.7" top="0.75" bottom="0.75" header="0.3" footer="0.3"/>
  <pageSetup orientation="portrait" r:id="rId3"/>
  <drawing r:id="rId4"/>
  <tableParts count="1">
    <tablePart r:id="rId5"/>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I121"/>
  <sheetViews>
    <sheetView showGridLines="0" workbookViewId="0"/>
  </sheetViews>
  <sheetFormatPr defaultColWidth="9.140625" defaultRowHeight="15" x14ac:dyDescent="0.25"/>
  <cols>
    <col min="1" max="1" width="9.5703125" style="6" bestFit="1" customWidth="1"/>
    <col min="2" max="5" width="9.140625" style="7"/>
    <col min="6" max="6" width="17.85546875" style="7" bestFit="1" customWidth="1"/>
    <col min="7" max="7" width="13.7109375" style="7" bestFit="1" customWidth="1"/>
    <col min="8" max="8" width="9.140625" style="7"/>
    <col min="9" max="9" width="20.85546875" style="7" bestFit="1" customWidth="1"/>
    <col min="10" max="10" width="14.85546875" style="7" bestFit="1" customWidth="1"/>
    <col min="11" max="11" width="14.42578125" style="7" bestFit="1" customWidth="1"/>
    <col min="12" max="12" width="6.28515625" style="7" bestFit="1" customWidth="1"/>
    <col min="13" max="13" width="9.7109375" style="7" bestFit="1" customWidth="1"/>
    <col min="14" max="14" width="6.85546875" style="7" bestFit="1" customWidth="1"/>
    <col min="15" max="15" width="6.7109375" style="7" bestFit="1" customWidth="1"/>
    <col min="16" max="16" width="9.7109375" style="7" bestFit="1" customWidth="1"/>
    <col min="17" max="17" width="10.5703125" style="7" bestFit="1" customWidth="1"/>
    <col min="18" max="18" width="5.42578125" style="7" bestFit="1" customWidth="1"/>
    <col min="19" max="19" width="4.85546875" style="7" bestFit="1" customWidth="1"/>
    <col min="20" max="20" width="8.140625" style="7" bestFit="1" customWidth="1"/>
    <col min="21" max="21" width="6.28515625" style="7" bestFit="1" customWidth="1"/>
    <col min="22" max="22" width="10.85546875" style="7" bestFit="1" customWidth="1"/>
    <col min="23" max="23" width="7.5703125" style="7" bestFit="1" customWidth="1"/>
    <col min="24" max="24" width="13.140625" style="7" bestFit="1" customWidth="1"/>
    <col min="25" max="25" width="15.85546875" style="7" bestFit="1" customWidth="1"/>
    <col min="26" max="26" width="6.5703125" style="7" bestFit="1" customWidth="1"/>
    <col min="27" max="27" width="6" style="7" bestFit="1" customWidth="1"/>
    <col min="28" max="28" width="7.140625" style="7" bestFit="1" customWidth="1"/>
    <col min="29" max="29" width="6.5703125" style="7" bestFit="1" customWidth="1"/>
    <col min="30" max="30" width="11.28515625" style="7" bestFit="1" customWidth="1"/>
    <col min="31" max="16384" width="9.140625" style="7"/>
  </cols>
  <sheetData>
    <row r="1" spans="1:9" x14ac:dyDescent="0.25">
      <c r="A1" s="47" t="s">
        <v>42</v>
      </c>
    </row>
    <row r="2" spans="1:9" x14ac:dyDescent="0.25">
      <c r="A2" s="47" t="s">
        <v>118</v>
      </c>
    </row>
    <row r="3" spans="1:9" x14ac:dyDescent="0.25">
      <c r="A3" s="47" t="s">
        <v>119</v>
      </c>
    </row>
    <row r="4" spans="1:9" x14ac:dyDescent="0.25">
      <c r="A4" s="47" t="s">
        <v>94</v>
      </c>
    </row>
    <row r="5" spans="1:9" x14ac:dyDescent="0.25">
      <c r="A5" s="47" t="s">
        <v>128</v>
      </c>
    </row>
    <row r="6" spans="1:9" ht="18.75" x14ac:dyDescent="0.3">
      <c r="F6" s="16" t="str">
        <f>IF(AND($F$9="Kelly",$G$9=935),"Right on!"," ")</f>
        <v xml:space="preserve"> </v>
      </c>
    </row>
    <row r="7" spans="1:9" x14ac:dyDescent="0.25">
      <c r="F7" s="28" t="s">
        <v>39</v>
      </c>
      <c r="G7" t="s">
        <v>8</v>
      </c>
    </row>
    <row r="8" spans="1:9" ht="18.75" x14ac:dyDescent="0.3">
      <c r="F8" s="29" t="s">
        <v>9</v>
      </c>
      <c r="G8" s="34">
        <v>2000</v>
      </c>
      <c r="I8" s="16"/>
    </row>
    <row r="9" spans="1:9" ht="18.75" x14ac:dyDescent="0.3">
      <c r="F9" s="31" t="s">
        <v>14</v>
      </c>
      <c r="G9" s="34">
        <v>1000</v>
      </c>
      <c r="I9" s="16"/>
    </row>
    <row r="10" spans="1:9" x14ac:dyDescent="0.25">
      <c r="F10" s="31" t="s">
        <v>28</v>
      </c>
      <c r="G10" s="34">
        <v>500</v>
      </c>
    </row>
    <row r="11" spans="1:9" x14ac:dyDescent="0.25">
      <c r="F11" s="31" t="s">
        <v>32</v>
      </c>
      <c r="G11" s="34">
        <v>500</v>
      </c>
    </row>
    <row r="12" spans="1:9" x14ac:dyDescent="0.25">
      <c r="F12" s="29" t="s">
        <v>13</v>
      </c>
      <c r="G12" s="34">
        <v>935</v>
      </c>
    </row>
    <row r="13" spans="1:9" x14ac:dyDescent="0.25">
      <c r="F13" s="31" t="s">
        <v>15</v>
      </c>
      <c r="G13" s="34">
        <v>250</v>
      </c>
    </row>
    <row r="14" spans="1:9" x14ac:dyDescent="0.25">
      <c r="F14" s="31" t="s">
        <v>24</v>
      </c>
      <c r="G14" s="34">
        <v>20</v>
      </c>
    </row>
    <row r="15" spans="1:9" x14ac:dyDescent="0.25">
      <c r="F15" s="31" t="s">
        <v>31</v>
      </c>
      <c r="G15" s="34">
        <v>125</v>
      </c>
    </row>
    <row r="16" spans="1:9" x14ac:dyDescent="0.25">
      <c r="F16" s="31" t="s">
        <v>17</v>
      </c>
      <c r="G16" s="34">
        <v>20</v>
      </c>
    </row>
    <row r="17" spans="6:7" x14ac:dyDescent="0.25">
      <c r="F17" s="31" t="s">
        <v>30</v>
      </c>
      <c r="G17" s="34">
        <v>20</v>
      </c>
    </row>
    <row r="18" spans="6:7" x14ac:dyDescent="0.25">
      <c r="F18" s="31" t="s">
        <v>18</v>
      </c>
      <c r="G18" s="34">
        <v>125</v>
      </c>
    </row>
    <row r="19" spans="6:7" x14ac:dyDescent="0.25">
      <c r="F19" s="31" t="s">
        <v>33</v>
      </c>
      <c r="G19" s="34">
        <v>125</v>
      </c>
    </row>
    <row r="20" spans="6:7" x14ac:dyDescent="0.25">
      <c r="F20" s="31" t="s">
        <v>34</v>
      </c>
      <c r="G20" s="34">
        <v>250</v>
      </c>
    </row>
    <row r="21" spans="6:7" x14ac:dyDescent="0.25">
      <c r="F21" s="29" t="s">
        <v>11</v>
      </c>
      <c r="G21" s="34">
        <v>1427</v>
      </c>
    </row>
    <row r="22" spans="6:7" x14ac:dyDescent="0.25">
      <c r="F22" s="31" t="s">
        <v>29</v>
      </c>
      <c r="G22" s="34">
        <v>74</v>
      </c>
    </row>
    <row r="23" spans="6:7" x14ac:dyDescent="0.25">
      <c r="F23" s="31" t="s">
        <v>27</v>
      </c>
      <c r="G23" s="34">
        <v>235</v>
      </c>
    </row>
    <row r="24" spans="6:7" x14ac:dyDescent="0.25">
      <c r="F24" s="31" t="s">
        <v>25</v>
      </c>
      <c r="G24" s="34">
        <v>70</v>
      </c>
    </row>
    <row r="25" spans="6:7" x14ac:dyDescent="0.25">
      <c r="F25" s="31" t="s">
        <v>12</v>
      </c>
      <c r="G25" s="34">
        <v>470</v>
      </c>
    </row>
    <row r="26" spans="6:7" x14ac:dyDescent="0.25">
      <c r="F26" s="31" t="s">
        <v>10</v>
      </c>
      <c r="G26" s="34">
        <v>74</v>
      </c>
    </row>
    <row r="27" spans="6:7" x14ac:dyDescent="0.25">
      <c r="F27" s="31" t="s">
        <v>26</v>
      </c>
      <c r="G27" s="34">
        <v>74</v>
      </c>
    </row>
    <row r="28" spans="6:7" x14ac:dyDescent="0.25">
      <c r="F28" s="31" t="s">
        <v>35</v>
      </c>
      <c r="G28" s="34">
        <v>125</v>
      </c>
    </row>
    <row r="29" spans="6:7" x14ac:dyDescent="0.25">
      <c r="F29" s="31" t="s">
        <v>36</v>
      </c>
      <c r="G29" s="34">
        <v>70</v>
      </c>
    </row>
    <row r="30" spans="6:7" x14ac:dyDescent="0.25">
      <c r="F30" s="31" t="s">
        <v>37</v>
      </c>
      <c r="G30" s="34">
        <v>235</v>
      </c>
    </row>
    <row r="31" spans="6:7" x14ac:dyDescent="0.25">
      <c r="F31" s="29" t="s">
        <v>16</v>
      </c>
      <c r="G31" s="34">
        <v>4362</v>
      </c>
    </row>
    <row r="100" spans="2:5" x14ac:dyDescent="0.25">
      <c r="B100" s="8" t="s">
        <v>4</v>
      </c>
      <c r="C100" s="8" t="s">
        <v>5</v>
      </c>
      <c r="D100" s="8" t="s">
        <v>6</v>
      </c>
      <c r="E100" s="8" t="s">
        <v>7</v>
      </c>
    </row>
    <row r="101" spans="2:5" x14ac:dyDescent="0.25">
      <c r="B101" s="18">
        <v>42752</v>
      </c>
      <c r="C101" s="10" t="s">
        <v>9</v>
      </c>
      <c r="D101" s="10" t="s">
        <v>14</v>
      </c>
      <c r="E101" s="11">
        <v>1000</v>
      </c>
    </row>
    <row r="102" spans="2:5" x14ac:dyDescent="0.25">
      <c r="B102" s="18">
        <v>42752</v>
      </c>
      <c r="C102" s="10" t="s">
        <v>9</v>
      </c>
      <c r="D102" s="10" t="s">
        <v>32</v>
      </c>
      <c r="E102" s="11">
        <v>500</v>
      </c>
    </row>
    <row r="103" spans="2:5" x14ac:dyDescent="0.25">
      <c r="B103" s="19">
        <v>42752</v>
      </c>
      <c r="C103" s="10" t="s">
        <v>9</v>
      </c>
      <c r="D103" s="10" t="s">
        <v>28</v>
      </c>
      <c r="E103" s="11">
        <v>500</v>
      </c>
    </row>
    <row r="104" spans="2:5" x14ac:dyDescent="0.25">
      <c r="B104" s="18">
        <v>42786</v>
      </c>
      <c r="C104" s="10" t="s">
        <v>13</v>
      </c>
      <c r="D104" s="10" t="s">
        <v>17</v>
      </c>
      <c r="E104" s="11">
        <v>20</v>
      </c>
    </row>
    <row r="105" spans="2:5" x14ac:dyDescent="0.25">
      <c r="B105" s="18">
        <v>42791</v>
      </c>
      <c r="C105" s="10" t="s">
        <v>13</v>
      </c>
      <c r="D105" s="10" t="s">
        <v>18</v>
      </c>
      <c r="E105" s="11">
        <v>125</v>
      </c>
    </row>
    <row r="106" spans="2:5" x14ac:dyDescent="0.25">
      <c r="B106" s="18">
        <v>42756</v>
      </c>
      <c r="C106" s="10" t="s">
        <v>13</v>
      </c>
      <c r="D106" s="10" t="s">
        <v>15</v>
      </c>
      <c r="E106" s="11">
        <v>250</v>
      </c>
    </row>
    <row r="107" spans="2:5" x14ac:dyDescent="0.25">
      <c r="B107" s="18">
        <v>42786</v>
      </c>
      <c r="C107" s="10" t="s">
        <v>13</v>
      </c>
      <c r="D107" s="10" t="s">
        <v>24</v>
      </c>
      <c r="E107" s="11">
        <v>20</v>
      </c>
    </row>
    <row r="108" spans="2:5" x14ac:dyDescent="0.25">
      <c r="B108" s="18">
        <v>42791</v>
      </c>
      <c r="C108" s="10" t="s">
        <v>13</v>
      </c>
      <c r="D108" s="10" t="s">
        <v>33</v>
      </c>
      <c r="E108" s="11">
        <v>125</v>
      </c>
    </row>
    <row r="109" spans="2:5" x14ac:dyDescent="0.25">
      <c r="B109" s="19">
        <v>42756</v>
      </c>
      <c r="C109" s="10" t="s">
        <v>13</v>
      </c>
      <c r="D109" s="10" t="s">
        <v>34</v>
      </c>
      <c r="E109" s="11">
        <v>250</v>
      </c>
    </row>
    <row r="110" spans="2:5" x14ac:dyDescent="0.25">
      <c r="B110" s="19">
        <v>42786</v>
      </c>
      <c r="C110" s="10" t="s">
        <v>13</v>
      </c>
      <c r="D110" s="10" t="s">
        <v>30</v>
      </c>
      <c r="E110" s="11">
        <v>20</v>
      </c>
    </row>
    <row r="111" spans="2:5" x14ac:dyDescent="0.25">
      <c r="B111" s="19">
        <v>42791</v>
      </c>
      <c r="C111" s="10" t="s">
        <v>13</v>
      </c>
      <c r="D111" s="10" t="s">
        <v>31</v>
      </c>
      <c r="E111" s="11">
        <v>125</v>
      </c>
    </row>
    <row r="112" spans="2:5" x14ac:dyDescent="0.25">
      <c r="B112" s="18">
        <v>42736</v>
      </c>
      <c r="C112" s="10" t="s">
        <v>11</v>
      </c>
      <c r="D112" s="10" t="s">
        <v>10</v>
      </c>
      <c r="E112" s="11">
        <v>74</v>
      </c>
    </row>
    <row r="113" spans="2:5" x14ac:dyDescent="0.25">
      <c r="B113" s="18">
        <v>42750</v>
      </c>
      <c r="C113" s="10" t="s">
        <v>11</v>
      </c>
      <c r="D113" s="10" t="s">
        <v>12</v>
      </c>
      <c r="E113" s="11">
        <v>235</v>
      </c>
    </row>
    <row r="114" spans="2:5" x14ac:dyDescent="0.25">
      <c r="B114" s="18">
        <v>42756</v>
      </c>
      <c r="C114" s="10" t="s">
        <v>11</v>
      </c>
      <c r="D114" s="10" t="s">
        <v>35</v>
      </c>
      <c r="E114" s="11">
        <v>125</v>
      </c>
    </row>
    <row r="115" spans="2:5" x14ac:dyDescent="0.25">
      <c r="B115" s="18">
        <v>42768</v>
      </c>
      <c r="C115" s="10" t="s">
        <v>11</v>
      </c>
      <c r="D115" s="10" t="s">
        <v>12</v>
      </c>
      <c r="E115" s="11">
        <v>235</v>
      </c>
    </row>
    <row r="116" spans="2:5" x14ac:dyDescent="0.25">
      <c r="B116" s="18">
        <v>42736</v>
      </c>
      <c r="C116" s="10" t="s">
        <v>11</v>
      </c>
      <c r="D116" s="10" t="s">
        <v>26</v>
      </c>
      <c r="E116" s="11">
        <v>74</v>
      </c>
    </row>
    <row r="117" spans="2:5" x14ac:dyDescent="0.25">
      <c r="B117" s="18">
        <v>42750</v>
      </c>
      <c r="C117" s="10" t="s">
        <v>11</v>
      </c>
      <c r="D117" s="10" t="s">
        <v>25</v>
      </c>
      <c r="E117" s="11">
        <v>70</v>
      </c>
    </row>
    <row r="118" spans="2:5" x14ac:dyDescent="0.25">
      <c r="B118" s="18">
        <v>42768</v>
      </c>
      <c r="C118" s="10" t="s">
        <v>11</v>
      </c>
      <c r="D118" s="10" t="s">
        <v>27</v>
      </c>
      <c r="E118" s="11">
        <v>235</v>
      </c>
    </row>
    <row r="119" spans="2:5" x14ac:dyDescent="0.25">
      <c r="B119" s="19">
        <v>42736</v>
      </c>
      <c r="C119" s="10" t="s">
        <v>11</v>
      </c>
      <c r="D119" s="10" t="s">
        <v>29</v>
      </c>
      <c r="E119" s="11">
        <v>74</v>
      </c>
    </row>
    <row r="120" spans="2:5" x14ac:dyDescent="0.25">
      <c r="B120" s="19">
        <v>42750</v>
      </c>
      <c r="C120" s="10" t="s">
        <v>11</v>
      </c>
      <c r="D120" s="10" t="s">
        <v>36</v>
      </c>
      <c r="E120" s="11">
        <v>70</v>
      </c>
    </row>
    <row r="121" spans="2:5" x14ac:dyDescent="0.25">
      <c r="B121" s="19">
        <v>42768</v>
      </c>
      <c r="C121" s="10" t="s">
        <v>11</v>
      </c>
      <c r="D121" s="10" t="s">
        <v>37</v>
      </c>
      <c r="E121" s="11">
        <v>235</v>
      </c>
    </row>
  </sheetData>
  <hyperlinks>
    <hyperlink ref="A5" r:id="rId2"/>
  </hyperlinks>
  <pageMargins left="0.7" right="0.7" top="0.75" bottom="0.75" header="0.3" footer="0.3"/>
  <pageSetup orientation="portrait" r:id="rId3"/>
  <drawing r:id="rId4"/>
  <tableParts count="1">
    <tablePart r:id="rId5"/>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M107"/>
  <sheetViews>
    <sheetView showGridLines="0" workbookViewId="0"/>
  </sheetViews>
  <sheetFormatPr defaultColWidth="9.140625" defaultRowHeight="15" x14ac:dyDescent="0.25"/>
  <cols>
    <col min="1" max="1" width="9.7109375" style="6" bestFit="1" customWidth="1"/>
    <col min="2" max="2" width="13.7109375" style="7" bestFit="1" customWidth="1"/>
    <col min="3" max="13" width="10.7109375" style="7" customWidth="1"/>
    <col min="14" max="47" width="9.140625" style="7" customWidth="1"/>
    <col min="48" max="16384" width="9.140625" style="7"/>
  </cols>
  <sheetData>
    <row r="1" spans="1:13" x14ac:dyDescent="0.25">
      <c r="A1" s="47" t="s">
        <v>43</v>
      </c>
    </row>
    <row r="2" spans="1:13" x14ac:dyDescent="0.25">
      <c r="A2" s="47" t="s">
        <v>120</v>
      </c>
    </row>
    <row r="3" spans="1:13" ht="14.45" customHeight="1" x14ac:dyDescent="0.25">
      <c r="A3" s="47" t="s">
        <v>121</v>
      </c>
    </row>
    <row r="4" spans="1:13" x14ac:dyDescent="0.25">
      <c r="A4" s="47" t="s">
        <v>94</v>
      </c>
    </row>
    <row r="5" spans="1:13" x14ac:dyDescent="0.25">
      <c r="A5" s="47" t="s">
        <v>128</v>
      </c>
    </row>
    <row r="12" spans="1:13" ht="18.75" x14ac:dyDescent="0.3">
      <c r="C12" s="16" t="str">
        <f>IF(AND($C$16=398,$D$15="Jan"),"Nice job!"," ")</f>
        <v xml:space="preserve"> </v>
      </c>
    </row>
    <row r="13" spans="1:13" x14ac:dyDescent="0.25">
      <c r="B13" s="28" t="s">
        <v>8</v>
      </c>
      <c r="C13" s="28" t="s">
        <v>44</v>
      </c>
      <c r="D13"/>
      <c r="E13"/>
      <c r="F13"/>
      <c r="G13"/>
      <c r="H13"/>
      <c r="I13"/>
      <c r="J13"/>
      <c r="K13"/>
      <c r="L13"/>
      <c r="M13"/>
    </row>
    <row r="14" spans="1:13" x14ac:dyDescent="0.25">
      <c r="B14"/>
      <c r="C14" t="s">
        <v>12</v>
      </c>
      <c r="D14"/>
      <c r="E14"/>
      <c r="F14"/>
      <c r="G14" t="s">
        <v>45</v>
      </c>
      <c r="H14" t="s">
        <v>46</v>
      </c>
      <c r="I14"/>
      <c r="J14"/>
      <c r="K14"/>
      <c r="L14" t="s">
        <v>47</v>
      </c>
      <c r="M14" t="s">
        <v>16</v>
      </c>
    </row>
    <row r="15" spans="1:13" x14ac:dyDescent="0.25">
      <c r="B15" s="28" t="s">
        <v>39</v>
      </c>
      <c r="C15" t="s">
        <v>48</v>
      </c>
      <c r="D15" t="s">
        <v>49</v>
      </c>
      <c r="E15" t="s">
        <v>50</v>
      </c>
      <c r="F15" t="s">
        <v>51</v>
      </c>
      <c r="G15"/>
      <c r="H15" t="s">
        <v>48</v>
      </c>
      <c r="I15" t="s">
        <v>49</v>
      </c>
      <c r="J15" t="s">
        <v>50</v>
      </c>
      <c r="K15" t="s">
        <v>51</v>
      </c>
      <c r="L15"/>
      <c r="M15"/>
    </row>
    <row r="16" spans="1:13" x14ac:dyDescent="0.25">
      <c r="B16" s="29" t="s">
        <v>13</v>
      </c>
      <c r="C16" s="34">
        <v>74</v>
      </c>
      <c r="D16" s="34">
        <v>74</v>
      </c>
      <c r="E16" s="34">
        <v>125</v>
      </c>
      <c r="F16" s="34">
        <v>125</v>
      </c>
      <c r="G16" s="34">
        <v>398</v>
      </c>
      <c r="H16" s="34"/>
      <c r="I16" s="34"/>
      <c r="J16" s="34"/>
      <c r="K16" s="34"/>
      <c r="L16" s="34"/>
      <c r="M16" s="34">
        <v>398</v>
      </c>
    </row>
    <row r="17" spans="2:13" x14ac:dyDescent="0.25">
      <c r="B17" s="29" t="s">
        <v>9</v>
      </c>
      <c r="C17" s="34">
        <v>235</v>
      </c>
      <c r="D17" s="34">
        <v>235</v>
      </c>
      <c r="E17" s="34">
        <v>235</v>
      </c>
      <c r="F17" s="34">
        <v>74</v>
      </c>
      <c r="G17" s="34">
        <v>779</v>
      </c>
      <c r="H17" s="34"/>
      <c r="I17" s="34"/>
      <c r="J17" s="34"/>
      <c r="K17" s="34"/>
      <c r="L17" s="34"/>
      <c r="M17" s="34">
        <v>779</v>
      </c>
    </row>
    <row r="18" spans="2:13" x14ac:dyDescent="0.25">
      <c r="B18" s="29" t="s">
        <v>11</v>
      </c>
      <c r="C18" s="34"/>
      <c r="D18" s="34"/>
      <c r="E18" s="34"/>
      <c r="F18" s="34"/>
      <c r="G18" s="34"/>
      <c r="H18" s="34">
        <v>1000</v>
      </c>
      <c r="I18" s="34">
        <v>1000</v>
      </c>
      <c r="J18" s="34">
        <v>20</v>
      </c>
      <c r="K18" s="34">
        <v>70</v>
      </c>
      <c r="L18" s="34">
        <v>2090</v>
      </c>
      <c r="M18" s="34">
        <v>2090</v>
      </c>
    </row>
    <row r="19" spans="2:13" x14ac:dyDescent="0.25">
      <c r="B19" s="29" t="s">
        <v>16</v>
      </c>
      <c r="C19" s="34">
        <v>309</v>
      </c>
      <c r="D19" s="34">
        <v>309</v>
      </c>
      <c r="E19" s="34">
        <v>360</v>
      </c>
      <c r="F19" s="34">
        <v>199</v>
      </c>
      <c r="G19" s="34">
        <v>1177</v>
      </c>
      <c r="H19" s="34">
        <v>1000</v>
      </c>
      <c r="I19" s="34">
        <v>1000</v>
      </c>
      <c r="J19" s="34">
        <v>20</v>
      </c>
      <c r="K19" s="34">
        <v>70</v>
      </c>
      <c r="L19" s="34">
        <v>2090</v>
      </c>
      <c r="M19" s="34">
        <v>3267</v>
      </c>
    </row>
    <row r="20" spans="2:13" ht="18.75" x14ac:dyDescent="0.3">
      <c r="C20" s="16"/>
    </row>
    <row r="21" spans="2:13" ht="18.75" x14ac:dyDescent="0.3">
      <c r="B21" s="16"/>
    </row>
    <row r="23" spans="2:13" ht="18.75" x14ac:dyDescent="0.3">
      <c r="B23" s="16"/>
    </row>
    <row r="24" spans="2:13" ht="18.75" x14ac:dyDescent="0.3">
      <c r="B24" s="16"/>
    </row>
    <row r="95" spans="2:5" x14ac:dyDescent="0.25">
      <c r="B95" s="7" t="s">
        <v>52</v>
      </c>
      <c r="C95" s="7" t="s">
        <v>5</v>
      </c>
      <c r="D95" s="7" t="s">
        <v>6</v>
      </c>
      <c r="E95" s="7" t="s">
        <v>7</v>
      </c>
    </row>
    <row r="96" spans="2:5" x14ac:dyDescent="0.25">
      <c r="B96" s="7" t="s">
        <v>48</v>
      </c>
      <c r="C96" s="7" t="s">
        <v>13</v>
      </c>
      <c r="D96" s="7" t="s">
        <v>12</v>
      </c>
      <c r="E96" s="20">
        <v>74</v>
      </c>
    </row>
    <row r="97" spans="2:13" x14ac:dyDescent="0.25">
      <c r="B97" s="7" t="s">
        <v>48</v>
      </c>
      <c r="C97" s="7" t="s">
        <v>9</v>
      </c>
      <c r="D97" s="7" t="s">
        <v>12</v>
      </c>
      <c r="E97" s="20">
        <v>235</v>
      </c>
    </row>
    <row r="98" spans="2:13" x14ac:dyDescent="0.25">
      <c r="B98" s="7" t="s">
        <v>48</v>
      </c>
      <c r="C98" s="7" t="s">
        <v>11</v>
      </c>
      <c r="D98" s="7" t="s">
        <v>46</v>
      </c>
      <c r="E98" s="20">
        <v>1000</v>
      </c>
    </row>
    <row r="99" spans="2:13" x14ac:dyDescent="0.25">
      <c r="B99" s="7" t="s">
        <v>49</v>
      </c>
      <c r="C99" s="7" t="s">
        <v>13</v>
      </c>
      <c r="D99" s="7" t="s">
        <v>12</v>
      </c>
      <c r="E99" s="20">
        <v>74</v>
      </c>
    </row>
    <row r="100" spans="2:13" x14ac:dyDescent="0.25">
      <c r="B100" s="7" t="s">
        <v>49</v>
      </c>
      <c r="C100" s="7" t="s">
        <v>9</v>
      </c>
      <c r="D100" s="7" t="s">
        <v>12</v>
      </c>
      <c r="E100" s="20">
        <v>235</v>
      </c>
    </row>
    <row r="101" spans="2:13" x14ac:dyDescent="0.25">
      <c r="B101" s="7" t="s">
        <v>49</v>
      </c>
      <c r="C101" s="7" t="s">
        <v>11</v>
      </c>
      <c r="D101" s="7" t="s">
        <v>46</v>
      </c>
      <c r="E101" s="20">
        <v>1000</v>
      </c>
    </row>
    <row r="102" spans="2:13" x14ac:dyDescent="0.25">
      <c r="B102" s="7" t="s">
        <v>50</v>
      </c>
      <c r="C102" s="7" t="s">
        <v>13</v>
      </c>
      <c r="D102" s="7" t="s">
        <v>12</v>
      </c>
      <c r="E102" s="20">
        <v>125</v>
      </c>
    </row>
    <row r="103" spans="2:13" x14ac:dyDescent="0.25">
      <c r="B103" s="7" t="s">
        <v>50</v>
      </c>
      <c r="C103" s="7" t="s">
        <v>9</v>
      </c>
      <c r="D103" s="7" t="s">
        <v>12</v>
      </c>
      <c r="E103" s="20">
        <v>235</v>
      </c>
    </row>
    <row r="104" spans="2:13" x14ac:dyDescent="0.25">
      <c r="B104" s="7" t="s">
        <v>50</v>
      </c>
      <c r="C104" s="7" t="s">
        <v>11</v>
      </c>
      <c r="D104" s="7" t="s">
        <v>46</v>
      </c>
      <c r="E104" s="20">
        <v>20</v>
      </c>
    </row>
    <row r="105" spans="2:13" x14ac:dyDescent="0.25">
      <c r="B105" s="7" t="s">
        <v>51</v>
      </c>
      <c r="C105" s="7" t="s">
        <v>13</v>
      </c>
      <c r="D105" s="7" t="s">
        <v>12</v>
      </c>
      <c r="E105" s="20">
        <v>125</v>
      </c>
    </row>
    <row r="106" spans="2:13" x14ac:dyDescent="0.25">
      <c r="B106" s="7" t="s">
        <v>51</v>
      </c>
      <c r="C106" s="7" t="s">
        <v>9</v>
      </c>
      <c r="D106" s="7" t="s">
        <v>12</v>
      </c>
      <c r="E106" s="20">
        <v>74</v>
      </c>
    </row>
    <row r="107" spans="2:13" x14ac:dyDescent="0.25">
      <c r="B107" s="7" t="s">
        <v>51</v>
      </c>
      <c r="C107" s="7" t="s">
        <v>11</v>
      </c>
      <c r="D107" s="7" t="s">
        <v>46</v>
      </c>
      <c r="E107" s="20">
        <v>70</v>
      </c>
      <c r="M107" s="33"/>
    </row>
  </sheetData>
  <hyperlinks>
    <hyperlink ref="A5" r:id="rId2"/>
  </hyperlinks>
  <pageMargins left="0.7" right="0.7" top="0.75" bottom="0.75" header="0.3" footer="0.3"/>
  <pageSetup orientation="portrait" r:id="rId3"/>
  <drawing r:id="rId4"/>
  <tableParts count="1">
    <tablePart r:id="rId5"/>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dimension ref="A1:E146"/>
  <sheetViews>
    <sheetView showGridLines="0" topLeftCell="A115" zoomScaleNormal="100" workbookViewId="0">
      <selection activeCell="E133" sqref="E133"/>
    </sheetView>
  </sheetViews>
  <sheetFormatPr defaultColWidth="9.140625" defaultRowHeight="15" x14ac:dyDescent="0.25"/>
  <cols>
    <col min="1" max="1" width="11.28515625" style="6" bestFit="1" customWidth="1"/>
    <col min="2" max="2" width="9.140625" style="7"/>
    <col min="3" max="3" width="19.28515625" style="7" bestFit="1" customWidth="1"/>
    <col min="4" max="4" width="15.140625" style="7" bestFit="1" customWidth="1"/>
    <col min="5" max="5" width="14.85546875" style="7" bestFit="1" customWidth="1"/>
    <col min="6" max="6" width="16" style="7" bestFit="1" customWidth="1"/>
    <col min="7" max="7" width="20.85546875" style="7" bestFit="1" customWidth="1"/>
    <col min="8" max="8" width="14.85546875" style="7" bestFit="1" customWidth="1"/>
    <col min="9" max="28" width="9.140625" style="7" customWidth="1"/>
    <col min="29" max="16384" width="9.140625" style="7"/>
  </cols>
  <sheetData>
    <row r="1" spans="1:5" x14ac:dyDescent="0.25">
      <c r="A1" s="47" t="s">
        <v>53</v>
      </c>
    </row>
    <row r="2" spans="1:5" x14ac:dyDescent="0.25">
      <c r="A2" s="47" t="s">
        <v>122</v>
      </c>
    </row>
    <row r="3" spans="1:5" x14ac:dyDescent="0.25">
      <c r="A3" s="63" t="s">
        <v>149</v>
      </c>
    </row>
    <row r="4" spans="1:5" x14ac:dyDescent="0.25">
      <c r="A4" s="47" t="s">
        <v>94</v>
      </c>
    </row>
    <row r="5" spans="1:5" x14ac:dyDescent="0.25">
      <c r="A5" s="47" t="s">
        <v>128</v>
      </c>
    </row>
    <row r="8" spans="1:5" x14ac:dyDescent="0.25">
      <c r="D8" s="28" t="s">
        <v>39</v>
      </c>
      <c r="E8" t="s">
        <v>8</v>
      </c>
    </row>
    <row r="9" spans="1:5" x14ac:dyDescent="0.25">
      <c r="D9" s="29" t="s">
        <v>54</v>
      </c>
      <c r="E9" s="30">
        <v>5425</v>
      </c>
    </row>
    <row r="10" spans="1:5" x14ac:dyDescent="0.25">
      <c r="D10" s="31" t="s">
        <v>11</v>
      </c>
      <c r="E10" s="30">
        <v>5425</v>
      </c>
    </row>
    <row r="11" spans="1:5" x14ac:dyDescent="0.25">
      <c r="D11" s="46" t="s">
        <v>55</v>
      </c>
      <c r="E11" s="30">
        <v>1272</v>
      </c>
    </row>
    <row r="12" spans="1:5" x14ac:dyDescent="0.25">
      <c r="D12" s="46" t="s">
        <v>56</v>
      </c>
      <c r="E12" s="30">
        <v>3220</v>
      </c>
    </row>
    <row r="13" spans="1:5" x14ac:dyDescent="0.25">
      <c r="D13" s="46" t="s">
        <v>46</v>
      </c>
      <c r="E13" s="30">
        <v>933</v>
      </c>
    </row>
    <row r="14" spans="1:5" x14ac:dyDescent="0.25">
      <c r="D14" s="29" t="s">
        <v>57</v>
      </c>
      <c r="E14" s="30">
        <v>4760</v>
      </c>
    </row>
    <row r="15" spans="1:5" x14ac:dyDescent="0.25">
      <c r="D15" s="31" t="s">
        <v>9</v>
      </c>
      <c r="E15" s="30">
        <v>4760</v>
      </c>
    </row>
    <row r="16" spans="1:5" x14ac:dyDescent="0.25">
      <c r="D16" s="46" t="s">
        <v>55</v>
      </c>
      <c r="E16" s="30">
        <v>1040</v>
      </c>
    </row>
    <row r="17" spans="4:5" x14ac:dyDescent="0.25">
      <c r="D17" s="46" t="s">
        <v>56</v>
      </c>
      <c r="E17" s="30">
        <v>2400</v>
      </c>
    </row>
    <row r="18" spans="4:5" x14ac:dyDescent="0.25">
      <c r="D18" s="46" t="s">
        <v>46</v>
      </c>
      <c r="E18" s="30">
        <v>1320</v>
      </c>
    </row>
    <row r="19" spans="4:5" x14ac:dyDescent="0.25">
      <c r="D19" s="29" t="s">
        <v>58</v>
      </c>
      <c r="E19" s="30">
        <v>3473</v>
      </c>
    </row>
    <row r="20" spans="4:5" x14ac:dyDescent="0.25">
      <c r="D20" s="31" t="s">
        <v>11</v>
      </c>
      <c r="E20" s="30">
        <v>3473</v>
      </c>
    </row>
    <row r="21" spans="4:5" x14ac:dyDescent="0.25">
      <c r="D21" s="46" t="s">
        <v>55</v>
      </c>
      <c r="E21" s="30">
        <v>1080</v>
      </c>
    </row>
    <row r="22" spans="4:5" x14ac:dyDescent="0.25">
      <c r="D22" s="46" t="s">
        <v>56</v>
      </c>
      <c r="E22" s="30">
        <v>1260</v>
      </c>
    </row>
    <row r="23" spans="4:5" x14ac:dyDescent="0.25">
      <c r="D23" s="46" t="s">
        <v>46</v>
      </c>
      <c r="E23" s="30">
        <v>1133</v>
      </c>
    </row>
    <row r="24" spans="4:5" x14ac:dyDescent="0.25">
      <c r="D24" s="29" t="s">
        <v>59</v>
      </c>
      <c r="E24" s="30">
        <v>4100</v>
      </c>
    </row>
    <row r="25" spans="4:5" x14ac:dyDescent="0.25">
      <c r="D25" s="31" t="s">
        <v>9</v>
      </c>
      <c r="E25" s="30">
        <v>4100</v>
      </c>
    </row>
    <row r="26" spans="4:5" x14ac:dyDescent="0.25">
      <c r="D26" s="46" t="s">
        <v>55</v>
      </c>
      <c r="E26" s="30">
        <v>1030</v>
      </c>
    </row>
    <row r="27" spans="4:5" x14ac:dyDescent="0.25">
      <c r="D27" s="46" t="s">
        <v>56</v>
      </c>
      <c r="E27" s="30">
        <v>1420</v>
      </c>
    </row>
    <row r="28" spans="4:5" x14ac:dyDescent="0.25">
      <c r="D28" s="46" t="s">
        <v>46</v>
      </c>
      <c r="E28" s="30">
        <v>1650</v>
      </c>
    </row>
    <row r="29" spans="4:5" x14ac:dyDescent="0.25">
      <c r="D29" s="29" t="s">
        <v>16</v>
      </c>
      <c r="E29" s="30">
        <v>17758</v>
      </c>
    </row>
    <row r="98" spans="2:5" x14ac:dyDescent="0.25">
      <c r="B98" s="7" t="s">
        <v>5</v>
      </c>
      <c r="C98" s="7" t="s">
        <v>60</v>
      </c>
      <c r="D98" s="7" t="s">
        <v>6</v>
      </c>
      <c r="E98" s="21" t="s">
        <v>7</v>
      </c>
    </row>
    <row r="99" spans="2:5" x14ac:dyDescent="0.25">
      <c r="B99" s="7" t="s">
        <v>9</v>
      </c>
      <c r="C99" s="7" t="s">
        <v>59</v>
      </c>
      <c r="D99" s="7" t="s">
        <v>55</v>
      </c>
      <c r="E99" s="20">
        <v>300</v>
      </c>
    </row>
    <row r="100" spans="2:5" x14ac:dyDescent="0.25">
      <c r="B100" s="7" t="s">
        <v>9</v>
      </c>
      <c r="C100" s="7" t="s">
        <v>59</v>
      </c>
      <c r="D100" s="7" t="s">
        <v>56</v>
      </c>
      <c r="E100" s="20">
        <v>200</v>
      </c>
    </row>
    <row r="101" spans="2:5" x14ac:dyDescent="0.25">
      <c r="B101" s="7" t="s">
        <v>9</v>
      </c>
      <c r="C101" s="7" t="s">
        <v>59</v>
      </c>
      <c r="D101" s="7" t="s">
        <v>46</v>
      </c>
      <c r="E101" s="20">
        <v>400</v>
      </c>
    </row>
    <row r="102" spans="2:5" x14ac:dyDescent="0.25">
      <c r="B102" s="7" t="s">
        <v>9</v>
      </c>
      <c r="C102" s="7" t="s">
        <v>59</v>
      </c>
      <c r="D102" s="7" t="s">
        <v>55</v>
      </c>
      <c r="E102" s="20">
        <v>300</v>
      </c>
    </row>
    <row r="103" spans="2:5" x14ac:dyDescent="0.25">
      <c r="B103" s="7" t="s">
        <v>9</v>
      </c>
      <c r="C103" s="7" t="s">
        <v>59</v>
      </c>
      <c r="D103" s="7" t="s">
        <v>56</v>
      </c>
      <c r="E103" s="20">
        <v>800</v>
      </c>
    </row>
    <row r="104" spans="2:5" x14ac:dyDescent="0.25">
      <c r="B104" s="7" t="s">
        <v>9</v>
      </c>
      <c r="C104" s="7" t="s">
        <v>59</v>
      </c>
      <c r="D104" s="7" t="s">
        <v>46</v>
      </c>
      <c r="E104" s="20">
        <v>400</v>
      </c>
    </row>
    <row r="105" spans="2:5" x14ac:dyDescent="0.25">
      <c r="B105" s="7" t="s">
        <v>9</v>
      </c>
      <c r="C105" s="7" t="s">
        <v>59</v>
      </c>
      <c r="D105" s="7" t="s">
        <v>55</v>
      </c>
      <c r="E105" s="20">
        <v>200</v>
      </c>
    </row>
    <row r="106" spans="2:5" x14ac:dyDescent="0.25">
      <c r="B106" s="7" t="s">
        <v>9</v>
      </c>
      <c r="C106" s="7" t="s">
        <v>59</v>
      </c>
      <c r="D106" s="7" t="s">
        <v>56</v>
      </c>
      <c r="E106" s="20">
        <v>300</v>
      </c>
    </row>
    <row r="107" spans="2:5" x14ac:dyDescent="0.25">
      <c r="B107" s="7" t="s">
        <v>9</v>
      </c>
      <c r="C107" s="7" t="s">
        <v>59</v>
      </c>
      <c r="D107" s="7" t="s">
        <v>46</v>
      </c>
      <c r="E107" s="20">
        <v>450</v>
      </c>
    </row>
    <row r="108" spans="2:5" x14ac:dyDescent="0.25">
      <c r="B108" s="7" t="s">
        <v>9</v>
      </c>
      <c r="C108" s="7" t="s">
        <v>59</v>
      </c>
      <c r="D108" s="7" t="s">
        <v>55</v>
      </c>
      <c r="E108" s="20">
        <v>230</v>
      </c>
    </row>
    <row r="109" spans="2:5" x14ac:dyDescent="0.25">
      <c r="B109" s="7" t="s">
        <v>9</v>
      </c>
      <c r="C109" s="7" t="s">
        <v>59</v>
      </c>
      <c r="D109" s="7" t="s">
        <v>56</v>
      </c>
      <c r="E109" s="20">
        <v>120</v>
      </c>
    </row>
    <row r="110" spans="2:5" x14ac:dyDescent="0.25">
      <c r="B110" s="7" t="s">
        <v>9</v>
      </c>
      <c r="C110" s="7" t="s">
        <v>59</v>
      </c>
      <c r="D110" s="7" t="s">
        <v>46</v>
      </c>
      <c r="E110" s="20">
        <v>400</v>
      </c>
    </row>
    <row r="111" spans="2:5" x14ac:dyDescent="0.25">
      <c r="B111" s="7" t="s">
        <v>9</v>
      </c>
      <c r="C111" s="7" t="s">
        <v>57</v>
      </c>
      <c r="D111" s="7" t="s">
        <v>55</v>
      </c>
      <c r="E111" s="20">
        <v>210</v>
      </c>
    </row>
    <row r="112" spans="2:5" x14ac:dyDescent="0.25">
      <c r="B112" s="7" t="s">
        <v>9</v>
      </c>
      <c r="C112" s="7" t="s">
        <v>57</v>
      </c>
      <c r="D112" s="7" t="s">
        <v>56</v>
      </c>
      <c r="E112" s="20">
        <v>300</v>
      </c>
    </row>
    <row r="113" spans="2:5" x14ac:dyDescent="0.25">
      <c r="B113" s="7" t="s">
        <v>9</v>
      </c>
      <c r="C113" s="7" t="s">
        <v>57</v>
      </c>
      <c r="D113" s="7" t="s">
        <v>46</v>
      </c>
      <c r="E113" s="20">
        <v>400</v>
      </c>
    </row>
    <row r="114" spans="2:5" x14ac:dyDescent="0.25">
      <c r="B114" s="7" t="s">
        <v>9</v>
      </c>
      <c r="C114" s="7" t="s">
        <v>57</v>
      </c>
      <c r="D114" s="7" t="s">
        <v>55</v>
      </c>
      <c r="E114" s="20">
        <v>230</v>
      </c>
    </row>
    <row r="115" spans="2:5" x14ac:dyDescent="0.25">
      <c r="B115" s="7" t="s">
        <v>9</v>
      </c>
      <c r="C115" s="7" t="s">
        <v>57</v>
      </c>
      <c r="D115" s="7" t="s">
        <v>56</v>
      </c>
      <c r="E115" s="20">
        <v>900</v>
      </c>
    </row>
    <row r="116" spans="2:5" x14ac:dyDescent="0.25">
      <c r="B116" s="7" t="s">
        <v>9</v>
      </c>
      <c r="C116" s="7" t="s">
        <v>57</v>
      </c>
      <c r="D116" s="7" t="s">
        <v>46</v>
      </c>
      <c r="E116" s="20">
        <v>300</v>
      </c>
    </row>
    <row r="117" spans="2:5" x14ac:dyDescent="0.25">
      <c r="B117" s="7" t="s">
        <v>9</v>
      </c>
      <c r="C117" s="7" t="s">
        <v>57</v>
      </c>
      <c r="D117" s="7" t="s">
        <v>55</v>
      </c>
      <c r="E117" s="20">
        <v>200</v>
      </c>
    </row>
    <row r="118" spans="2:5" x14ac:dyDescent="0.25">
      <c r="B118" s="7" t="s">
        <v>9</v>
      </c>
      <c r="C118" s="7" t="s">
        <v>57</v>
      </c>
      <c r="D118" s="7" t="s">
        <v>56</v>
      </c>
      <c r="E118" s="20">
        <v>1000</v>
      </c>
    </row>
    <row r="119" spans="2:5" x14ac:dyDescent="0.25">
      <c r="B119" s="7" t="s">
        <v>9</v>
      </c>
      <c r="C119" s="7" t="s">
        <v>57</v>
      </c>
      <c r="D119" s="7" t="s">
        <v>46</v>
      </c>
      <c r="E119" s="20">
        <v>220</v>
      </c>
    </row>
    <row r="120" spans="2:5" x14ac:dyDescent="0.25">
      <c r="B120" s="7" t="s">
        <v>9</v>
      </c>
      <c r="C120" s="7" t="s">
        <v>57</v>
      </c>
      <c r="D120" s="7" t="s">
        <v>55</v>
      </c>
      <c r="E120" s="20">
        <v>400</v>
      </c>
    </row>
    <row r="121" spans="2:5" x14ac:dyDescent="0.25">
      <c r="B121" s="7" t="s">
        <v>9</v>
      </c>
      <c r="C121" s="7" t="s">
        <v>57</v>
      </c>
      <c r="D121" s="7" t="s">
        <v>56</v>
      </c>
      <c r="E121" s="20">
        <v>200</v>
      </c>
    </row>
    <row r="122" spans="2:5" x14ac:dyDescent="0.25">
      <c r="B122" s="7" t="s">
        <v>9</v>
      </c>
      <c r="C122" s="7" t="s">
        <v>57</v>
      </c>
      <c r="D122" s="7" t="s">
        <v>46</v>
      </c>
      <c r="E122" s="20">
        <v>400</v>
      </c>
    </row>
    <row r="123" spans="2:5" x14ac:dyDescent="0.25">
      <c r="B123" s="7" t="s">
        <v>11</v>
      </c>
      <c r="C123" s="7" t="s">
        <v>58</v>
      </c>
      <c r="D123" s="7" t="s">
        <v>55</v>
      </c>
      <c r="E123" s="20">
        <v>100</v>
      </c>
    </row>
    <row r="124" spans="2:5" x14ac:dyDescent="0.25">
      <c r="B124" s="7" t="s">
        <v>11</v>
      </c>
      <c r="C124" s="7" t="s">
        <v>58</v>
      </c>
      <c r="D124" s="7" t="s">
        <v>56</v>
      </c>
      <c r="E124" s="20">
        <v>30</v>
      </c>
    </row>
    <row r="125" spans="2:5" x14ac:dyDescent="0.25">
      <c r="B125" s="7" t="s">
        <v>11</v>
      </c>
      <c r="C125" s="7" t="s">
        <v>58</v>
      </c>
      <c r="D125" s="7" t="s">
        <v>46</v>
      </c>
      <c r="E125" s="20">
        <v>123</v>
      </c>
    </row>
    <row r="126" spans="2:5" x14ac:dyDescent="0.25">
      <c r="B126" s="7" t="s">
        <v>11</v>
      </c>
      <c r="C126" s="7" t="s">
        <v>58</v>
      </c>
      <c r="D126" s="7" t="s">
        <v>55</v>
      </c>
      <c r="E126" s="20">
        <v>300</v>
      </c>
    </row>
    <row r="127" spans="2:5" x14ac:dyDescent="0.25">
      <c r="B127" s="7" t="s">
        <v>11</v>
      </c>
      <c r="C127" s="7" t="s">
        <v>58</v>
      </c>
      <c r="D127" s="7" t="s">
        <v>56</v>
      </c>
      <c r="E127" s="20">
        <v>350</v>
      </c>
    </row>
    <row r="128" spans="2:5" x14ac:dyDescent="0.25">
      <c r="B128" s="7" t="s">
        <v>11</v>
      </c>
      <c r="C128" s="7" t="s">
        <v>58</v>
      </c>
      <c r="D128" s="7" t="s">
        <v>46</v>
      </c>
      <c r="E128" s="20">
        <v>230</v>
      </c>
    </row>
    <row r="129" spans="2:5" x14ac:dyDescent="0.25">
      <c r="B129" s="7" t="s">
        <v>11</v>
      </c>
      <c r="C129" s="7" t="s">
        <v>58</v>
      </c>
      <c r="D129" s="7" t="s">
        <v>55</v>
      </c>
      <c r="E129" s="20">
        <v>120</v>
      </c>
    </row>
    <row r="130" spans="2:5" x14ac:dyDescent="0.25">
      <c r="B130" s="7" t="s">
        <v>11</v>
      </c>
      <c r="C130" s="7" t="s">
        <v>58</v>
      </c>
      <c r="D130" s="7" t="s">
        <v>56</v>
      </c>
      <c r="E130" s="20">
        <v>640</v>
      </c>
    </row>
    <row r="131" spans="2:5" x14ac:dyDescent="0.25">
      <c r="B131" s="7" t="s">
        <v>11</v>
      </c>
      <c r="C131" s="7" t="s">
        <v>58</v>
      </c>
      <c r="D131" s="7" t="s">
        <v>46</v>
      </c>
      <c r="E131" s="20">
        <v>530</v>
      </c>
    </row>
    <row r="132" spans="2:5" x14ac:dyDescent="0.25">
      <c r="B132" s="7" t="s">
        <v>11</v>
      </c>
      <c r="C132" s="7" t="s">
        <v>58</v>
      </c>
      <c r="D132" s="7" t="s">
        <v>55</v>
      </c>
      <c r="E132" s="20">
        <v>560</v>
      </c>
    </row>
    <row r="133" spans="2:5" x14ac:dyDescent="0.25">
      <c r="B133" s="7" t="s">
        <v>11</v>
      </c>
      <c r="C133" s="7" t="s">
        <v>58</v>
      </c>
      <c r="D133" s="7" t="s">
        <v>56</v>
      </c>
      <c r="E133" s="20">
        <v>240</v>
      </c>
    </row>
    <row r="134" spans="2:5" x14ac:dyDescent="0.25">
      <c r="B134" s="7" t="s">
        <v>11</v>
      </c>
      <c r="C134" s="7" t="s">
        <v>58</v>
      </c>
      <c r="D134" s="7" t="s">
        <v>46</v>
      </c>
      <c r="E134" s="20">
        <v>250</v>
      </c>
    </row>
    <row r="135" spans="2:5" x14ac:dyDescent="0.25">
      <c r="B135" s="7" t="s">
        <v>11</v>
      </c>
      <c r="C135" s="7" t="s">
        <v>54</v>
      </c>
      <c r="D135" s="7" t="s">
        <v>55</v>
      </c>
      <c r="E135" s="20">
        <v>62</v>
      </c>
    </row>
    <row r="136" spans="2:5" x14ac:dyDescent="0.25">
      <c r="B136" s="7" t="s">
        <v>11</v>
      </c>
      <c r="C136" s="7" t="s">
        <v>54</v>
      </c>
      <c r="D136" s="7" t="s">
        <v>56</v>
      </c>
      <c r="E136" s="20">
        <v>600</v>
      </c>
    </row>
    <row r="137" spans="2:5" x14ac:dyDescent="0.25">
      <c r="B137" s="7" t="s">
        <v>11</v>
      </c>
      <c r="C137" s="7" t="s">
        <v>54</v>
      </c>
      <c r="D137" s="7" t="s">
        <v>46</v>
      </c>
      <c r="E137" s="20">
        <v>340</v>
      </c>
    </row>
    <row r="138" spans="2:5" x14ac:dyDescent="0.25">
      <c r="B138" s="7" t="s">
        <v>11</v>
      </c>
      <c r="C138" s="7" t="s">
        <v>54</v>
      </c>
      <c r="D138" s="7" t="s">
        <v>55</v>
      </c>
      <c r="E138" s="20">
        <v>205</v>
      </c>
    </row>
    <row r="139" spans="2:5" x14ac:dyDescent="0.25">
      <c r="B139" s="7" t="s">
        <v>11</v>
      </c>
      <c r="C139" s="7" t="s">
        <v>54</v>
      </c>
      <c r="D139" s="7" t="s">
        <v>56</v>
      </c>
      <c r="E139" s="20">
        <v>500</v>
      </c>
    </row>
    <row r="140" spans="2:5" x14ac:dyDescent="0.25">
      <c r="B140" s="7" t="s">
        <v>11</v>
      </c>
      <c r="C140" s="7" t="s">
        <v>54</v>
      </c>
      <c r="D140" s="7" t="s">
        <v>46</v>
      </c>
      <c r="E140" s="20">
        <v>403</v>
      </c>
    </row>
    <row r="141" spans="2:5" x14ac:dyDescent="0.25">
      <c r="B141" s="7" t="s">
        <v>11</v>
      </c>
      <c r="C141" s="7" t="s">
        <v>54</v>
      </c>
      <c r="D141" s="7" t="s">
        <v>55</v>
      </c>
      <c r="E141" s="20">
        <v>503</v>
      </c>
    </row>
    <row r="142" spans="2:5" x14ac:dyDescent="0.25">
      <c r="B142" s="7" t="s">
        <v>11</v>
      </c>
      <c r="C142" s="7" t="s">
        <v>54</v>
      </c>
      <c r="D142" s="7" t="s">
        <v>56</v>
      </c>
      <c r="E142" s="20">
        <v>2000</v>
      </c>
    </row>
    <row r="143" spans="2:5" x14ac:dyDescent="0.25">
      <c r="B143" s="7" t="s">
        <v>11</v>
      </c>
      <c r="C143" s="7" t="s">
        <v>54</v>
      </c>
      <c r="D143" s="7" t="s">
        <v>46</v>
      </c>
      <c r="E143" s="20">
        <v>140</v>
      </c>
    </row>
    <row r="144" spans="2:5" x14ac:dyDescent="0.25">
      <c r="B144" s="7" t="s">
        <v>11</v>
      </c>
      <c r="C144" s="7" t="s">
        <v>54</v>
      </c>
      <c r="D144" s="7" t="s">
        <v>55</v>
      </c>
      <c r="E144" s="20">
        <v>502</v>
      </c>
    </row>
    <row r="145" spans="2:5" x14ac:dyDescent="0.25">
      <c r="B145" s="7" t="s">
        <v>11</v>
      </c>
      <c r="C145" s="7" t="s">
        <v>54</v>
      </c>
      <c r="D145" s="7" t="s">
        <v>56</v>
      </c>
      <c r="E145" s="20">
        <v>120</v>
      </c>
    </row>
    <row r="146" spans="2:5" x14ac:dyDescent="0.25">
      <c r="B146" s="7" t="s">
        <v>11</v>
      </c>
      <c r="C146" s="7" t="s">
        <v>54</v>
      </c>
      <c r="D146" s="7" t="s">
        <v>46</v>
      </c>
      <c r="E146" s="20">
        <v>50</v>
      </c>
    </row>
  </sheetData>
  <hyperlinks>
    <hyperlink ref="A5" r:id="rId2"/>
  </hyperlinks>
  <pageMargins left="0.7" right="0.7" top="0.75" bottom="0.75" header="0.3" footer="0.3"/>
  <pageSetup orientation="portrait" r:id="rId3"/>
  <drawing r:id="rId4"/>
  <tableParts count="1">
    <tablePart r:id="rId5"/>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E55"/>
  <sheetViews>
    <sheetView showGridLines="0" workbookViewId="0"/>
  </sheetViews>
  <sheetFormatPr defaultColWidth="9.140625" defaultRowHeight="15" x14ac:dyDescent="0.25"/>
  <cols>
    <col min="1" max="1" width="9.140625" style="6"/>
    <col min="2" max="2" width="8.42578125" style="7" bestFit="1" customWidth="1"/>
    <col min="3" max="3" width="9" style="7" bestFit="1" customWidth="1"/>
    <col min="4" max="4" width="12.28515625" style="7" bestFit="1" customWidth="1"/>
    <col min="5" max="5" width="9.85546875" style="7" bestFit="1" customWidth="1"/>
    <col min="6" max="16384" width="9.140625" style="7"/>
  </cols>
  <sheetData>
    <row r="1" spans="1:5" x14ac:dyDescent="0.25">
      <c r="A1" s="47" t="s">
        <v>123</v>
      </c>
    </row>
    <row r="2" spans="1:5" x14ac:dyDescent="0.25">
      <c r="A2" s="47" t="s">
        <v>124</v>
      </c>
    </row>
    <row r="3" spans="1:5" x14ac:dyDescent="0.25">
      <c r="A3" s="47" t="s">
        <v>94</v>
      </c>
    </row>
    <row r="4" spans="1:5" x14ac:dyDescent="0.25">
      <c r="A4" s="47" t="s">
        <v>128</v>
      </c>
    </row>
    <row r="7" spans="1:5" x14ac:dyDescent="0.25">
      <c r="B7" s="7" t="s">
        <v>60</v>
      </c>
      <c r="C7" s="7" t="s">
        <v>61</v>
      </c>
      <c r="D7" s="7" t="s">
        <v>62</v>
      </c>
      <c r="E7" s="7" t="s">
        <v>63</v>
      </c>
    </row>
    <row r="8" spans="1:5" x14ac:dyDescent="0.25">
      <c r="B8" s="7" t="s">
        <v>59</v>
      </c>
      <c r="C8" s="7" t="s">
        <v>64</v>
      </c>
      <c r="D8" s="7" t="s">
        <v>65</v>
      </c>
      <c r="E8" s="7">
        <v>300</v>
      </c>
    </row>
    <row r="9" spans="1:5" x14ac:dyDescent="0.25">
      <c r="B9" s="7" t="s">
        <v>59</v>
      </c>
      <c r="C9" s="7" t="s">
        <v>66</v>
      </c>
      <c r="D9" s="7" t="s">
        <v>67</v>
      </c>
      <c r="E9" s="7">
        <v>200</v>
      </c>
    </row>
    <row r="10" spans="1:5" x14ac:dyDescent="0.25">
      <c r="B10" s="7" t="s">
        <v>59</v>
      </c>
      <c r="C10" s="7" t="s">
        <v>68</v>
      </c>
      <c r="D10" s="7" t="s">
        <v>69</v>
      </c>
      <c r="E10" s="7">
        <v>400</v>
      </c>
    </row>
    <row r="11" spans="1:5" x14ac:dyDescent="0.25">
      <c r="B11" s="7" t="s">
        <v>59</v>
      </c>
      <c r="C11" s="7" t="s">
        <v>64</v>
      </c>
      <c r="D11" s="7" t="s">
        <v>70</v>
      </c>
      <c r="E11" s="7">
        <v>300</v>
      </c>
    </row>
    <row r="12" spans="1:5" x14ac:dyDescent="0.25">
      <c r="B12" s="7" t="s">
        <v>59</v>
      </c>
      <c r="C12" s="7" t="s">
        <v>66</v>
      </c>
      <c r="D12" s="7" t="s">
        <v>65</v>
      </c>
      <c r="E12" s="7">
        <v>800</v>
      </c>
    </row>
    <row r="13" spans="1:5" x14ac:dyDescent="0.25">
      <c r="B13" s="7" t="s">
        <v>59</v>
      </c>
      <c r="C13" s="7" t="s">
        <v>68</v>
      </c>
      <c r="D13" s="7" t="s">
        <v>67</v>
      </c>
      <c r="E13" s="7">
        <v>400</v>
      </c>
    </row>
    <row r="14" spans="1:5" x14ac:dyDescent="0.25">
      <c r="B14" s="7" t="s">
        <v>59</v>
      </c>
      <c r="C14" s="7" t="s">
        <v>64</v>
      </c>
      <c r="D14" s="7" t="s">
        <v>69</v>
      </c>
      <c r="E14" s="7">
        <v>200</v>
      </c>
    </row>
    <row r="15" spans="1:5" x14ac:dyDescent="0.25">
      <c r="B15" s="7" t="s">
        <v>59</v>
      </c>
      <c r="C15" s="7" t="s">
        <v>66</v>
      </c>
      <c r="D15" s="7" t="s">
        <v>70</v>
      </c>
      <c r="E15" s="7">
        <v>300</v>
      </c>
    </row>
    <row r="16" spans="1:5" x14ac:dyDescent="0.25">
      <c r="B16" s="7" t="s">
        <v>59</v>
      </c>
      <c r="C16" s="7" t="s">
        <v>68</v>
      </c>
      <c r="D16" s="7" t="s">
        <v>65</v>
      </c>
      <c r="E16" s="7">
        <v>450</v>
      </c>
    </row>
    <row r="17" spans="2:5" x14ac:dyDescent="0.25">
      <c r="B17" s="7" t="s">
        <v>59</v>
      </c>
      <c r="C17" s="7" t="s">
        <v>64</v>
      </c>
      <c r="D17" s="7" t="s">
        <v>67</v>
      </c>
      <c r="E17" s="7">
        <v>230</v>
      </c>
    </row>
    <row r="18" spans="2:5" x14ac:dyDescent="0.25">
      <c r="B18" s="7" t="s">
        <v>59</v>
      </c>
      <c r="C18" s="7" t="s">
        <v>66</v>
      </c>
      <c r="D18" s="7" t="s">
        <v>69</v>
      </c>
      <c r="E18" s="7">
        <v>120</v>
      </c>
    </row>
    <row r="19" spans="2:5" x14ac:dyDescent="0.25">
      <c r="B19" s="7" t="s">
        <v>59</v>
      </c>
      <c r="C19" s="7" t="s">
        <v>68</v>
      </c>
      <c r="D19" s="7" t="s">
        <v>70</v>
      </c>
      <c r="E19" s="7">
        <v>400</v>
      </c>
    </row>
    <row r="20" spans="2:5" x14ac:dyDescent="0.25">
      <c r="B20" s="7" t="s">
        <v>57</v>
      </c>
      <c r="C20" s="7" t="s">
        <v>64</v>
      </c>
      <c r="D20" s="7" t="s">
        <v>71</v>
      </c>
      <c r="E20" s="7">
        <v>210</v>
      </c>
    </row>
    <row r="21" spans="2:5" x14ac:dyDescent="0.25">
      <c r="B21" s="7" t="s">
        <v>57</v>
      </c>
      <c r="C21" s="7" t="s">
        <v>66</v>
      </c>
      <c r="D21" s="7" t="s">
        <v>72</v>
      </c>
      <c r="E21" s="7">
        <v>300</v>
      </c>
    </row>
    <row r="22" spans="2:5" x14ac:dyDescent="0.25">
      <c r="B22" s="7" t="s">
        <v>57</v>
      </c>
      <c r="C22" s="7" t="s">
        <v>68</v>
      </c>
      <c r="D22" s="7" t="s">
        <v>73</v>
      </c>
      <c r="E22" s="7">
        <v>400</v>
      </c>
    </row>
    <row r="23" spans="2:5" x14ac:dyDescent="0.25">
      <c r="B23" s="7" t="s">
        <v>57</v>
      </c>
      <c r="C23" s="7" t="s">
        <v>64</v>
      </c>
      <c r="D23" s="7" t="s">
        <v>74</v>
      </c>
      <c r="E23" s="7">
        <v>230</v>
      </c>
    </row>
    <row r="24" spans="2:5" x14ac:dyDescent="0.25">
      <c r="B24" s="7" t="s">
        <v>57</v>
      </c>
      <c r="C24" s="7" t="s">
        <v>66</v>
      </c>
      <c r="D24" s="7" t="s">
        <v>71</v>
      </c>
      <c r="E24" s="7">
        <v>900</v>
      </c>
    </row>
    <row r="25" spans="2:5" x14ac:dyDescent="0.25">
      <c r="B25" s="7" t="s">
        <v>57</v>
      </c>
      <c r="C25" s="7" t="s">
        <v>68</v>
      </c>
      <c r="D25" s="7" t="s">
        <v>72</v>
      </c>
      <c r="E25" s="7">
        <v>300</v>
      </c>
    </row>
    <row r="26" spans="2:5" x14ac:dyDescent="0.25">
      <c r="B26" s="7" t="s">
        <v>57</v>
      </c>
      <c r="C26" s="7" t="s">
        <v>64</v>
      </c>
      <c r="D26" s="7" t="s">
        <v>73</v>
      </c>
      <c r="E26" s="7">
        <v>200</v>
      </c>
    </row>
    <row r="27" spans="2:5" x14ac:dyDescent="0.25">
      <c r="B27" s="7" t="s">
        <v>57</v>
      </c>
      <c r="C27" s="7" t="s">
        <v>66</v>
      </c>
      <c r="D27" s="7" t="s">
        <v>74</v>
      </c>
      <c r="E27" s="7">
        <v>1000</v>
      </c>
    </row>
    <row r="28" spans="2:5" x14ac:dyDescent="0.25">
      <c r="B28" s="7" t="s">
        <v>57</v>
      </c>
      <c r="C28" s="7" t="s">
        <v>68</v>
      </c>
      <c r="D28" s="7" t="s">
        <v>71</v>
      </c>
      <c r="E28" s="7">
        <v>220</v>
      </c>
    </row>
    <row r="29" spans="2:5" x14ac:dyDescent="0.25">
      <c r="B29" s="7" t="s">
        <v>57</v>
      </c>
      <c r="C29" s="7" t="s">
        <v>64</v>
      </c>
      <c r="D29" s="7" t="s">
        <v>72</v>
      </c>
      <c r="E29" s="7">
        <v>400</v>
      </c>
    </row>
    <row r="30" spans="2:5" x14ac:dyDescent="0.25">
      <c r="B30" s="7" t="s">
        <v>57</v>
      </c>
      <c r="C30" s="7" t="s">
        <v>66</v>
      </c>
      <c r="D30" s="7" t="s">
        <v>73</v>
      </c>
      <c r="E30" s="7">
        <v>200</v>
      </c>
    </row>
    <row r="31" spans="2:5" x14ac:dyDescent="0.25">
      <c r="B31" s="7" t="s">
        <v>57</v>
      </c>
      <c r="C31" s="7" t="s">
        <v>68</v>
      </c>
      <c r="D31" s="7" t="s">
        <v>74</v>
      </c>
      <c r="E31" s="7">
        <v>400</v>
      </c>
    </row>
    <row r="32" spans="2:5" x14ac:dyDescent="0.25">
      <c r="B32" s="7" t="s">
        <v>58</v>
      </c>
      <c r="C32" s="7" t="s">
        <v>64</v>
      </c>
      <c r="D32" s="7" t="s">
        <v>75</v>
      </c>
      <c r="E32" s="7">
        <v>100</v>
      </c>
    </row>
    <row r="33" spans="2:5" x14ac:dyDescent="0.25">
      <c r="B33" s="7" t="s">
        <v>58</v>
      </c>
      <c r="C33" s="7" t="s">
        <v>66</v>
      </c>
      <c r="D33" s="7" t="s">
        <v>76</v>
      </c>
      <c r="E33" s="7">
        <v>30</v>
      </c>
    </row>
    <row r="34" spans="2:5" x14ac:dyDescent="0.25">
      <c r="B34" s="7" t="s">
        <v>58</v>
      </c>
      <c r="C34" s="7" t="s">
        <v>68</v>
      </c>
      <c r="D34" s="7" t="s">
        <v>77</v>
      </c>
      <c r="E34" s="7">
        <v>123</v>
      </c>
    </row>
    <row r="35" spans="2:5" x14ac:dyDescent="0.25">
      <c r="B35" s="7" t="s">
        <v>58</v>
      </c>
      <c r="C35" s="7" t="s">
        <v>64</v>
      </c>
      <c r="D35" s="7" t="s">
        <v>78</v>
      </c>
      <c r="E35" s="7">
        <v>300</v>
      </c>
    </row>
    <row r="36" spans="2:5" x14ac:dyDescent="0.25">
      <c r="B36" s="7" t="s">
        <v>58</v>
      </c>
      <c r="C36" s="7" t="s">
        <v>66</v>
      </c>
      <c r="D36" s="7" t="s">
        <v>75</v>
      </c>
      <c r="E36" s="7">
        <v>350</v>
      </c>
    </row>
    <row r="37" spans="2:5" x14ac:dyDescent="0.25">
      <c r="B37" s="7" t="s">
        <v>58</v>
      </c>
      <c r="C37" s="7" t="s">
        <v>68</v>
      </c>
      <c r="D37" s="7" t="s">
        <v>76</v>
      </c>
      <c r="E37" s="7">
        <v>230</v>
      </c>
    </row>
    <row r="38" spans="2:5" x14ac:dyDescent="0.25">
      <c r="B38" s="7" t="s">
        <v>58</v>
      </c>
      <c r="C38" s="7" t="s">
        <v>64</v>
      </c>
      <c r="D38" s="7" t="s">
        <v>77</v>
      </c>
      <c r="E38" s="7">
        <v>120</v>
      </c>
    </row>
    <row r="39" spans="2:5" x14ac:dyDescent="0.25">
      <c r="B39" s="7" t="s">
        <v>58</v>
      </c>
      <c r="C39" s="7" t="s">
        <v>66</v>
      </c>
      <c r="D39" s="7" t="s">
        <v>78</v>
      </c>
      <c r="E39" s="7">
        <v>640</v>
      </c>
    </row>
    <row r="40" spans="2:5" x14ac:dyDescent="0.25">
      <c r="B40" s="7" t="s">
        <v>58</v>
      </c>
      <c r="C40" s="7" t="s">
        <v>68</v>
      </c>
      <c r="D40" s="7" t="s">
        <v>75</v>
      </c>
      <c r="E40" s="7">
        <v>530</v>
      </c>
    </row>
    <row r="41" spans="2:5" x14ac:dyDescent="0.25">
      <c r="B41" s="7" t="s">
        <v>58</v>
      </c>
      <c r="C41" s="7" t="s">
        <v>64</v>
      </c>
      <c r="D41" s="7" t="s">
        <v>76</v>
      </c>
      <c r="E41" s="7">
        <v>560</v>
      </c>
    </row>
    <row r="42" spans="2:5" x14ac:dyDescent="0.25">
      <c r="B42" s="7" t="s">
        <v>58</v>
      </c>
      <c r="C42" s="7" t="s">
        <v>66</v>
      </c>
      <c r="D42" s="7" t="s">
        <v>77</v>
      </c>
      <c r="E42" s="7">
        <v>240</v>
      </c>
    </row>
    <row r="43" spans="2:5" x14ac:dyDescent="0.25">
      <c r="B43" s="7" t="s">
        <v>58</v>
      </c>
      <c r="C43" s="7" t="s">
        <v>68</v>
      </c>
      <c r="D43" s="7" t="s">
        <v>78</v>
      </c>
      <c r="E43" s="7">
        <v>250</v>
      </c>
    </row>
    <row r="44" spans="2:5" x14ac:dyDescent="0.25">
      <c r="B44" s="7" t="s">
        <v>54</v>
      </c>
      <c r="C44" s="7" t="s">
        <v>64</v>
      </c>
      <c r="D44" s="7" t="s">
        <v>79</v>
      </c>
      <c r="E44" s="7">
        <v>62</v>
      </c>
    </row>
    <row r="45" spans="2:5" x14ac:dyDescent="0.25">
      <c r="B45" s="7" t="s">
        <v>54</v>
      </c>
      <c r="C45" s="7" t="s">
        <v>66</v>
      </c>
      <c r="D45" s="7" t="s">
        <v>80</v>
      </c>
      <c r="E45" s="7">
        <v>600</v>
      </c>
    </row>
    <row r="46" spans="2:5" x14ac:dyDescent="0.25">
      <c r="B46" s="7" t="s">
        <v>54</v>
      </c>
      <c r="C46" s="7" t="s">
        <v>68</v>
      </c>
      <c r="D46" s="7" t="s">
        <v>69</v>
      </c>
      <c r="E46" s="7">
        <v>340</v>
      </c>
    </row>
    <row r="47" spans="2:5" x14ac:dyDescent="0.25">
      <c r="B47" s="7" t="s">
        <v>54</v>
      </c>
      <c r="C47" s="7" t="s">
        <v>64</v>
      </c>
      <c r="D47" s="7" t="s">
        <v>65</v>
      </c>
      <c r="E47" s="7">
        <v>205</v>
      </c>
    </row>
    <row r="48" spans="2:5" x14ac:dyDescent="0.25">
      <c r="B48" s="7" t="s">
        <v>54</v>
      </c>
      <c r="C48" s="7" t="s">
        <v>66</v>
      </c>
      <c r="D48" s="7" t="s">
        <v>79</v>
      </c>
      <c r="E48" s="7">
        <v>500</v>
      </c>
    </row>
    <row r="49" spans="2:5" x14ac:dyDescent="0.25">
      <c r="B49" s="7" t="s">
        <v>54</v>
      </c>
      <c r="C49" s="7" t="s">
        <v>68</v>
      </c>
      <c r="D49" s="7" t="s">
        <v>80</v>
      </c>
      <c r="E49" s="7">
        <v>403</v>
      </c>
    </row>
    <row r="50" spans="2:5" x14ac:dyDescent="0.25">
      <c r="B50" s="7" t="s">
        <v>54</v>
      </c>
      <c r="C50" s="7" t="s">
        <v>64</v>
      </c>
      <c r="D50" s="7" t="s">
        <v>69</v>
      </c>
      <c r="E50" s="7">
        <v>503</v>
      </c>
    </row>
    <row r="51" spans="2:5" x14ac:dyDescent="0.25">
      <c r="B51" s="7" t="s">
        <v>54</v>
      </c>
      <c r="C51" s="7" t="s">
        <v>66</v>
      </c>
      <c r="D51" s="7" t="s">
        <v>65</v>
      </c>
      <c r="E51" s="7">
        <v>2000</v>
      </c>
    </row>
    <row r="52" spans="2:5" x14ac:dyDescent="0.25">
      <c r="B52" s="7" t="s">
        <v>54</v>
      </c>
      <c r="C52" s="7" t="s">
        <v>68</v>
      </c>
      <c r="D52" s="7" t="s">
        <v>79</v>
      </c>
      <c r="E52" s="7">
        <v>140</v>
      </c>
    </row>
    <row r="53" spans="2:5" x14ac:dyDescent="0.25">
      <c r="B53" s="7" t="s">
        <v>54</v>
      </c>
      <c r="C53" s="7" t="s">
        <v>64</v>
      </c>
      <c r="D53" s="7" t="s">
        <v>80</v>
      </c>
      <c r="E53" s="7">
        <v>502</v>
      </c>
    </row>
    <row r="54" spans="2:5" x14ac:dyDescent="0.25">
      <c r="B54" s="7" t="s">
        <v>54</v>
      </c>
      <c r="C54" s="7" t="s">
        <v>66</v>
      </c>
      <c r="D54" s="7" t="s">
        <v>69</v>
      </c>
      <c r="E54" s="7">
        <v>120</v>
      </c>
    </row>
    <row r="55" spans="2:5" x14ac:dyDescent="0.25">
      <c r="B55" s="7" t="s">
        <v>54</v>
      </c>
      <c r="C55" s="7" t="s">
        <v>68</v>
      </c>
      <c r="D55" s="7" t="s">
        <v>65</v>
      </c>
      <c r="E55" s="7">
        <v>50</v>
      </c>
    </row>
  </sheetData>
  <hyperlinks>
    <hyperlink ref="A4" r:id="rId1"/>
  </hyperlinks>
  <pageMargins left="0.7" right="0.7" top="0.75" bottom="0.75" header="0.3" footer="0.3"/>
  <pageSetup orientation="portrait" r:id="rId2"/>
  <drawing r:id="rId3"/>
  <tableParts count="1">
    <tablePart r:id="rId4"/>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L77"/>
  <sheetViews>
    <sheetView showGridLines="0" workbookViewId="0"/>
  </sheetViews>
  <sheetFormatPr defaultColWidth="9.140625" defaultRowHeight="15" x14ac:dyDescent="0.25"/>
  <cols>
    <col min="1" max="1" width="9.140625" style="6"/>
    <col min="2" max="2" width="13.140625" style="7" bestFit="1" customWidth="1"/>
    <col min="3" max="3" width="16.5703125" style="7" bestFit="1" customWidth="1"/>
    <col min="4" max="4" width="10.28515625" style="7" customWidth="1"/>
    <col min="5" max="5" width="8.28515625" style="7" customWidth="1"/>
    <col min="6" max="7" width="11.28515625" style="7" bestFit="1" customWidth="1"/>
    <col min="8" max="8" width="7.5703125" style="7" bestFit="1" customWidth="1"/>
    <col min="9" max="9" width="6.140625" style="7" bestFit="1" customWidth="1"/>
    <col min="10" max="10" width="5" style="7" customWidth="1"/>
    <col min="11" max="11" width="10.28515625" style="7" bestFit="1" customWidth="1"/>
    <col min="12" max="12" width="7.5703125" style="7" bestFit="1" customWidth="1"/>
    <col min="13" max="13" width="6.140625" style="7" bestFit="1" customWidth="1"/>
    <col min="14" max="14" width="13.42578125" style="7" bestFit="1" customWidth="1"/>
    <col min="15" max="15" width="9.140625" style="7" bestFit="1" customWidth="1"/>
    <col min="16" max="16" width="7.5703125" style="7" bestFit="1" customWidth="1"/>
    <col min="17" max="17" width="6.140625" style="7" bestFit="1" customWidth="1"/>
    <col min="18" max="18" width="12.140625" style="7" bestFit="1" customWidth="1"/>
    <col min="19" max="19" width="11.28515625" style="7" bestFit="1" customWidth="1"/>
    <col min="20" max="16384" width="9.140625" style="7"/>
  </cols>
  <sheetData>
    <row r="1" spans="1:12" ht="15" customHeight="1" x14ac:dyDescent="0.25">
      <c r="A1" s="62" t="s">
        <v>139</v>
      </c>
      <c r="B1" s="51"/>
    </row>
    <row r="2" spans="1:12" ht="15" customHeight="1" x14ac:dyDescent="0.25">
      <c r="A2" s="6" t="s">
        <v>133</v>
      </c>
    </row>
    <row r="3" spans="1:12" ht="15" customHeight="1" x14ac:dyDescent="0.25">
      <c r="A3" s="6" t="s">
        <v>138</v>
      </c>
    </row>
    <row r="4" spans="1:12" ht="15" customHeight="1" x14ac:dyDescent="0.25">
      <c r="A4" s="6" t="s">
        <v>137</v>
      </c>
    </row>
    <row r="5" spans="1:12" ht="15" customHeight="1" x14ac:dyDescent="0.3">
      <c r="A5" s="47" t="s">
        <v>94</v>
      </c>
      <c r="K5" s="16"/>
      <c r="L5" s="16"/>
    </row>
    <row r="6" spans="1:12" ht="15" customHeight="1" x14ac:dyDescent="0.3">
      <c r="A6" s="47" t="s">
        <v>128</v>
      </c>
      <c r="K6" s="16"/>
      <c r="L6" s="16"/>
    </row>
    <row r="7" spans="1:12" ht="15" customHeight="1" x14ac:dyDescent="0.25">
      <c r="K7" s="7" t="s">
        <v>81</v>
      </c>
    </row>
    <row r="8" spans="1:12" ht="15" customHeight="1" x14ac:dyDescent="0.25">
      <c r="K8" s="22"/>
    </row>
    <row r="9" spans="1:12" ht="15" customHeight="1" x14ac:dyDescent="0.3">
      <c r="K9" s="16" t="str">
        <f>IF($K$8="George","You're right!",IF($K$8="Dave","Try again...",IF($K$8="Jenny","Not quite...",IF($K$8=" "," "," "))))</f>
        <v xml:space="preserve"> </v>
      </c>
    </row>
    <row r="10" spans="1:12" ht="15" customHeight="1" x14ac:dyDescent="0.25"/>
    <row r="11" spans="1:12" ht="15" customHeight="1" x14ac:dyDescent="0.25"/>
    <row r="12" spans="1:12" ht="15" customHeight="1" x14ac:dyDescent="0.3">
      <c r="B12" s="28" t="s">
        <v>39</v>
      </c>
      <c r="C12" t="s">
        <v>82</v>
      </c>
      <c r="D12"/>
      <c r="E12"/>
      <c r="F12"/>
      <c r="K12" s="16"/>
    </row>
    <row r="13" spans="1:12" ht="15" customHeight="1" x14ac:dyDescent="0.25">
      <c r="B13" s="29" t="s">
        <v>54</v>
      </c>
      <c r="C13" s="32">
        <v>5425</v>
      </c>
      <c r="D13"/>
      <c r="E13"/>
      <c r="F13"/>
    </row>
    <row r="14" spans="1:12" ht="15" customHeight="1" x14ac:dyDescent="0.25">
      <c r="B14" s="29" t="s">
        <v>57</v>
      </c>
      <c r="C14" s="32">
        <v>4760</v>
      </c>
      <c r="D14"/>
      <c r="E14"/>
      <c r="F14"/>
    </row>
    <row r="15" spans="1:12" ht="15" customHeight="1" x14ac:dyDescent="0.25">
      <c r="B15" s="29" t="s">
        <v>58</v>
      </c>
      <c r="C15" s="32">
        <v>3473</v>
      </c>
      <c r="D15"/>
      <c r="E15"/>
      <c r="F15"/>
    </row>
    <row r="16" spans="1:12" ht="15" customHeight="1" x14ac:dyDescent="0.25">
      <c r="B16" s="29" t="s">
        <v>59</v>
      </c>
      <c r="C16" s="32">
        <v>4100</v>
      </c>
      <c r="D16"/>
      <c r="E16"/>
      <c r="F16"/>
    </row>
    <row r="17" spans="2:6" ht="15" customHeight="1" x14ac:dyDescent="0.25">
      <c r="B17" s="29" t="s">
        <v>16</v>
      </c>
      <c r="C17" s="32">
        <v>17758</v>
      </c>
      <c r="D17"/>
      <c r="E17"/>
      <c r="F17"/>
    </row>
    <row r="18" spans="2:6" ht="15" customHeight="1" x14ac:dyDescent="0.25">
      <c r="B18"/>
      <c r="C18"/>
      <c r="D18"/>
      <c r="E18"/>
      <c r="F18"/>
    </row>
    <row r="19" spans="2:6" ht="15" customHeight="1" x14ac:dyDescent="0.25">
      <c r="B19"/>
      <c r="C19"/>
    </row>
    <row r="20" spans="2:6" ht="15" customHeight="1" x14ac:dyDescent="0.25">
      <c r="B20"/>
      <c r="C20"/>
    </row>
    <row r="21" spans="2:6" x14ac:dyDescent="0.25">
      <c r="B21"/>
      <c r="C21"/>
    </row>
    <row r="22" spans="2:6" x14ac:dyDescent="0.25">
      <c r="B22"/>
      <c r="C22"/>
    </row>
    <row r="23" spans="2:6" x14ac:dyDescent="0.25">
      <c r="B23"/>
      <c r="C23"/>
    </row>
    <row r="24" spans="2:6" x14ac:dyDescent="0.25">
      <c r="B24"/>
      <c r="C24"/>
    </row>
    <row r="25" spans="2:6" x14ac:dyDescent="0.25">
      <c r="B25"/>
      <c r="C25"/>
    </row>
    <row r="26" spans="2:6" x14ac:dyDescent="0.25">
      <c r="B26"/>
      <c r="C26"/>
    </row>
    <row r="27" spans="2:6" x14ac:dyDescent="0.25">
      <c r="B27"/>
      <c r="C27"/>
    </row>
    <row r="28" spans="2:6" x14ac:dyDescent="0.25">
      <c r="B28"/>
      <c r="C28"/>
    </row>
    <row r="29" spans="2:6" x14ac:dyDescent="0.25">
      <c r="B29"/>
      <c r="C29"/>
    </row>
    <row r="30" spans="2:6" x14ac:dyDescent="0.25">
      <c r="B30"/>
      <c r="C30"/>
    </row>
    <row r="31" spans="2:6" x14ac:dyDescent="0.25">
      <c r="B31"/>
      <c r="C31"/>
    </row>
    <row r="32" spans="2:6" x14ac:dyDescent="0.25">
      <c r="B32"/>
      <c r="C32"/>
    </row>
    <row r="33" spans="2:3" x14ac:dyDescent="0.25">
      <c r="B33"/>
      <c r="C33"/>
    </row>
    <row r="34" spans="2:3" x14ac:dyDescent="0.25">
      <c r="B34"/>
      <c r="C34"/>
    </row>
    <row r="35" spans="2:3" x14ac:dyDescent="0.25">
      <c r="B35"/>
      <c r="C35"/>
    </row>
    <row r="36" spans="2:3" x14ac:dyDescent="0.25">
      <c r="B36"/>
      <c r="C36"/>
    </row>
    <row r="37" spans="2:3" x14ac:dyDescent="0.25">
      <c r="B37"/>
      <c r="C37"/>
    </row>
    <row r="38" spans="2:3" x14ac:dyDescent="0.25">
      <c r="B38"/>
      <c r="C38"/>
    </row>
    <row r="39" spans="2:3" x14ac:dyDescent="0.25">
      <c r="B39"/>
      <c r="C39"/>
    </row>
    <row r="40" spans="2:3" x14ac:dyDescent="0.25">
      <c r="B40"/>
      <c r="C40"/>
    </row>
    <row r="41" spans="2:3" x14ac:dyDescent="0.25">
      <c r="B41"/>
      <c r="C41"/>
    </row>
    <row r="42" spans="2:3" x14ac:dyDescent="0.25">
      <c r="B42"/>
      <c r="C42"/>
    </row>
    <row r="43" spans="2:3" x14ac:dyDescent="0.25">
      <c r="B43"/>
      <c r="C43"/>
    </row>
    <row r="44" spans="2:3" x14ac:dyDescent="0.25">
      <c r="B44"/>
      <c r="C44"/>
    </row>
    <row r="45" spans="2:3" x14ac:dyDescent="0.25">
      <c r="B45"/>
      <c r="C45"/>
    </row>
    <row r="46" spans="2:3" x14ac:dyDescent="0.25">
      <c r="B46"/>
      <c r="C46"/>
    </row>
    <row r="47" spans="2:3" x14ac:dyDescent="0.25">
      <c r="B47"/>
      <c r="C47"/>
    </row>
    <row r="48" spans="2:3" x14ac:dyDescent="0.25">
      <c r="B48"/>
      <c r="C48"/>
    </row>
    <row r="49" spans="2:3" x14ac:dyDescent="0.25">
      <c r="B49"/>
      <c r="C49"/>
    </row>
    <row r="50" spans="2:3" x14ac:dyDescent="0.25">
      <c r="B50"/>
      <c r="C50"/>
    </row>
    <row r="51" spans="2:3" x14ac:dyDescent="0.25">
      <c r="B51"/>
      <c r="C51"/>
    </row>
    <row r="52" spans="2:3" x14ac:dyDescent="0.25">
      <c r="B52"/>
      <c r="C52"/>
    </row>
    <row r="53" spans="2:3" x14ac:dyDescent="0.25">
      <c r="B53"/>
      <c r="C53"/>
    </row>
    <row r="54" spans="2:3" x14ac:dyDescent="0.25">
      <c r="B54"/>
      <c r="C54"/>
    </row>
    <row r="55" spans="2:3" x14ac:dyDescent="0.25">
      <c r="B55"/>
      <c r="C55"/>
    </row>
    <row r="56" spans="2:3" x14ac:dyDescent="0.25">
      <c r="B56"/>
      <c r="C56"/>
    </row>
    <row r="57" spans="2:3" x14ac:dyDescent="0.25">
      <c r="B57"/>
      <c r="C57"/>
    </row>
    <row r="58" spans="2:3" x14ac:dyDescent="0.25">
      <c r="B58"/>
      <c r="C58"/>
    </row>
    <row r="59" spans="2:3" x14ac:dyDescent="0.25">
      <c r="B59"/>
      <c r="C59"/>
    </row>
    <row r="60" spans="2:3" x14ac:dyDescent="0.25">
      <c r="B60"/>
      <c r="C60"/>
    </row>
    <row r="61" spans="2:3" x14ac:dyDescent="0.25">
      <c r="B61"/>
      <c r="C61"/>
    </row>
    <row r="62" spans="2:3" x14ac:dyDescent="0.25">
      <c r="B62"/>
      <c r="C62"/>
    </row>
    <row r="63" spans="2:3" x14ac:dyDescent="0.25">
      <c r="B63"/>
      <c r="C63"/>
    </row>
    <row r="64" spans="2:3" x14ac:dyDescent="0.25">
      <c r="B64"/>
      <c r="C64"/>
    </row>
    <row r="65" spans="2:3" x14ac:dyDescent="0.25">
      <c r="B65"/>
      <c r="C65"/>
    </row>
    <row r="66" spans="2:3" x14ac:dyDescent="0.25">
      <c r="B66"/>
      <c r="C66"/>
    </row>
    <row r="67" spans="2:3" x14ac:dyDescent="0.25">
      <c r="B67"/>
      <c r="C67"/>
    </row>
    <row r="68" spans="2:3" x14ac:dyDescent="0.25">
      <c r="B68"/>
      <c r="C68"/>
    </row>
    <row r="69" spans="2:3" x14ac:dyDescent="0.25">
      <c r="B69"/>
      <c r="C69"/>
    </row>
    <row r="70" spans="2:3" x14ac:dyDescent="0.25">
      <c r="B70"/>
      <c r="C70"/>
    </row>
    <row r="71" spans="2:3" x14ac:dyDescent="0.25">
      <c r="B71"/>
      <c r="C71"/>
    </row>
    <row r="72" spans="2:3" x14ac:dyDescent="0.25">
      <c r="B72"/>
      <c r="C72"/>
    </row>
    <row r="73" spans="2:3" x14ac:dyDescent="0.25">
      <c r="B73"/>
      <c r="C73"/>
    </row>
    <row r="74" spans="2:3" x14ac:dyDescent="0.25">
      <c r="B74"/>
      <c r="C74"/>
    </row>
    <row r="75" spans="2:3" x14ac:dyDescent="0.25">
      <c r="B75"/>
      <c r="C75"/>
    </row>
    <row r="76" spans="2:3" x14ac:dyDescent="0.25">
      <c r="B76"/>
      <c r="C76"/>
    </row>
    <row r="77" spans="2:3" x14ac:dyDescent="0.25">
      <c r="B77"/>
      <c r="C77"/>
    </row>
  </sheetData>
  <dataValidations disablePrompts="1" count="1">
    <dataValidation type="list" allowBlank="1" showErrorMessage="1" promptTitle="Pick an item from the drop down." sqref="K8">
      <formula1>"Dave,George,Jenny, ,"</formula1>
    </dataValidation>
  </dataValidations>
  <hyperlinks>
    <hyperlink ref="A6" r:id="rId2"/>
  </hyperlinks>
  <pageMargins left="0.7" right="0.7" top="0.75" bottom="0.75" header="0.3" footer="0.3"/>
  <pageSetup orientation="portrait" r:id="rId3"/>
  <drawing r:id="rId4"/>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dimension ref="A1:K30"/>
  <sheetViews>
    <sheetView showGridLines="0" workbookViewId="0"/>
  </sheetViews>
  <sheetFormatPr defaultColWidth="9.140625" defaultRowHeight="15" x14ac:dyDescent="0.25"/>
  <cols>
    <col min="1" max="1" width="9.140625" style="6"/>
    <col min="2" max="3" width="16.5703125" style="7" bestFit="1" customWidth="1"/>
    <col min="4" max="4" width="7.5703125" style="7" bestFit="1" customWidth="1"/>
    <col min="5" max="5" width="6.140625" style="7" bestFit="1" customWidth="1"/>
    <col min="6" max="6" width="11.28515625" style="7" bestFit="1" customWidth="1"/>
    <col min="7" max="7" width="8.42578125" style="7" bestFit="1" customWidth="1"/>
    <col min="8" max="8" width="7.5703125" style="7" bestFit="1" customWidth="1"/>
    <col min="9" max="9" width="6.140625" style="7" bestFit="1" customWidth="1"/>
    <col min="10" max="10" width="11.42578125" style="7" bestFit="1" customWidth="1"/>
    <col min="11" max="11" width="10.28515625" style="7" bestFit="1" customWidth="1"/>
    <col min="12" max="12" width="7.5703125" style="7" bestFit="1" customWidth="1"/>
    <col min="13" max="13" width="6.140625" style="7" bestFit="1" customWidth="1"/>
    <col min="14" max="14" width="13.42578125" style="7" bestFit="1" customWidth="1"/>
    <col min="15" max="15" width="9.140625" style="7" bestFit="1" customWidth="1"/>
    <col min="16" max="16" width="7.5703125" style="7" bestFit="1" customWidth="1"/>
    <col min="17" max="17" width="6.140625" style="7" bestFit="1" customWidth="1"/>
    <col min="18" max="18" width="12.140625" style="7" bestFit="1" customWidth="1"/>
    <col min="19" max="19" width="11.28515625" style="7" bestFit="1" customWidth="1"/>
    <col min="20" max="16384" width="9.140625" style="7"/>
  </cols>
  <sheetData>
    <row r="1" spans="1:11" ht="15" customHeight="1" x14ac:dyDescent="0.25">
      <c r="A1" s="62" t="s">
        <v>141</v>
      </c>
    </row>
    <row r="2" spans="1:11" ht="15" customHeight="1" x14ac:dyDescent="0.25">
      <c r="A2" s="6" t="s">
        <v>133</v>
      </c>
    </row>
    <row r="3" spans="1:11" ht="15" customHeight="1" x14ac:dyDescent="0.25">
      <c r="A3" s="6" t="s">
        <v>140</v>
      </c>
    </row>
    <row r="4" spans="1:11" ht="15" customHeight="1" x14ac:dyDescent="0.3">
      <c r="A4" s="47" t="s">
        <v>94</v>
      </c>
      <c r="J4" s="16" t="str">
        <f>IF(AND($B$14="Buyer",$I$18=1175),"Good job! You placed"," ")</f>
        <v xml:space="preserve"> </v>
      </c>
    </row>
    <row r="5" spans="1:11" ht="15" customHeight="1" x14ac:dyDescent="0.3">
      <c r="A5" s="47" t="s">
        <v>128</v>
      </c>
      <c r="J5" s="16" t="str">
        <f>IF(AND(B$14="Fall",$C$17=1272),"Good job! You placed a"," ")</f>
        <v xml:space="preserve"> </v>
      </c>
      <c r="K5" s="16"/>
    </row>
    <row r="6" spans="1:11" ht="15" customHeight="1" x14ac:dyDescent="0.3">
      <c r="J6" s="16" t="str">
        <f>IF(AND(B$14="Fall",$C$17=1272),"secondary row field. Now"," ")</f>
        <v xml:space="preserve"> </v>
      </c>
      <c r="K6" s="16"/>
    </row>
    <row r="7" spans="1:11" ht="15" customHeight="1" x14ac:dyDescent="0.3">
      <c r="J7" s="16" t="str">
        <f>IF(AND(B$14="Fall",$C$17=1272),"scroll down and click Next."," ")</f>
        <v xml:space="preserve"> </v>
      </c>
      <c r="K7" s="16"/>
    </row>
    <row r="8" spans="1:11" ht="15" customHeight="1" x14ac:dyDescent="0.25"/>
    <row r="9" spans="1:11" ht="15" customHeight="1" x14ac:dyDescent="0.25"/>
    <row r="10" spans="1:11" ht="15" customHeight="1" x14ac:dyDescent="0.25"/>
    <row r="11" spans="1:11" ht="15" customHeight="1" x14ac:dyDescent="0.25"/>
    <row r="12" spans="1:11" ht="15" customHeight="1" x14ac:dyDescent="0.25"/>
    <row r="13" spans="1:11" ht="15" customHeight="1" x14ac:dyDescent="0.25">
      <c r="B13" t="s">
        <v>82</v>
      </c>
      <c r="C13"/>
    </row>
    <row r="14" spans="1:11" x14ac:dyDescent="0.25">
      <c r="B14" s="35">
        <v>17758</v>
      </c>
      <c r="C14"/>
    </row>
    <row r="15" spans="1:11" x14ac:dyDescent="0.25">
      <c r="B15"/>
      <c r="C15"/>
    </row>
    <row r="16" spans="1:11" x14ac:dyDescent="0.25">
      <c r="B16"/>
      <c r="C16"/>
    </row>
    <row r="17" spans="2:3" x14ac:dyDescent="0.25">
      <c r="B17"/>
      <c r="C17"/>
    </row>
    <row r="18" spans="2:3" x14ac:dyDescent="0.25">
      <c r="B18"/>
      <c r="C18"/>
    </row>
    <row r="19" spans="2:3" x14ac:dyDescent="0.25">
      <c r="B19"/>
      <c r="C19"/>
    </row>
    <row r="20" spans="2:3" x14ac:dyDescent="0.25">
      <c r="B20"/>
      <c r="C20"/>
    </row>
    <row r="21" spans="2:3" x14ac:dyDescent="0.25">
      <c r="B21"/>
      <c r="C21"/>
    </row>
    <row r="22" spans="2:3" x14ac:dyDescent="0.25">
      <c r="B22"/>
      <c r="C22"/>
    </row>
    <row r="23" spans="2:3" x14ac:dyDescent="0.25">
      <c r="B23"/>
      <c r="C23"/>
    </row>
    <row r="24" spans="2:3" x14ac:dyDescent="0.25">
      <c r="B24"/>
      <c r="C24"/>
    </row>
    <row r="25" spans="2:3" x14ac:dyDescent="0.25">
      <c r="B25"/>
      <c r="C25"/>
    </row>
    <row r="26" spans="2:3" x14ac:dyDescent="0.25">
      <c r="B26"/>
      <c r="C26"/>
    </row>
    <row r="27" spans="2:3" x14ac:dyDescent="0.25">
      <c r="B27"/>
      <c r="C27"/>
    </row>
    <row r="28" spans="2:3" x14ac:dyDescent="0.25">
      <c r="B28"/>
      <c r="C28"/>
    </row>
    <row r="29" spans="2:3" x14ac:dyDescent="0.25">
      <c r="B29"/>
      <c r="C29"/>
    </row>
    <row r="30" spans="2:3" x14ac:dyDescent="0.25">
      <c r="B30"/>
      <c r="C30"/>
    </row>
  </sheetData>
  <hyperlinks>
    <hyperlink ref="A5" r:id="rId2"/>
  </hyperlinks>
  <pageMargins left="0.7" right="0.7" top="0.75" bottom="0.75" header="0.3" footer="0.3"/>
  <pageSetup orientation="portrait" r:id="rId3"/>
  <drawing r:id="rId4"/>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K30"/>
  <sheetViews>
    <sheetView showGridLines="0" workbookViewId="0"/>
  </sheetViews>
  <sheetFormatPr defaultColWidth="9.140625" defaultRowHeight="15" x14ac:dyDescent="0.25"/>
  <cols>
    <col min="1" max="1" width="9.140625" style="6"/>
    <col min="2" max="3" width="16.5703125" style="7" bestFit="1" customWidth="1"/>
    <col min="4" max="4" width="6.5703125" style="7" bestFit="1" customWidth="1"/>
    <col min="5" max="5" width="8.42578125" style="7" bestFit="1" customWidth="1"/>
    <col min="6" max="6" width="7.28515625" style="7" bestFit="1" customWidth="1"/>
    <col min="7" max="7" width="11.28515625" style="7" bestFit="1" customWidth="1"/>
    <col min="8" max="8" width="7.5703125" style="7" bestFit="1" customWidth="1"/>
    <col min="9" max="9" width="6.140625" style="7" bestFit="1" customWidth="1"/>
    <col min="10" max="10" width="11.42578125" style="7" bestFit="1" customWidth="1"/>
    <col min="11" max="11" width="10.28515625" style="7" bestFit="1" customWidth="1"/>
    <col min="12" max="12" width="7.5703125" style="7" bestFit="1" customWidth="1"/>
    <col min="13" max="13" width="6.140625" style="7" bestFit="1" customWidth="1"/>
    <col min="14" max="14" width="13.42578125" style="7" bestFit="1" customWidth="1"/>
    <col min="15" max="15" width="9.140625" style="7" bestFit="1" customWidth="1"/>
    <col min="16" max="16" width="7.5703125" style="7" bestFit="1" customWidth="1"/>
    <col min="17" max="17" width="6.140625" style="7" bestFit="1" customWidth="1"/>
    <col min="18" max="18" width="12.140625" style="7" bestFit="1" customWidth="1"/>
    <col min="19" max="19" width="11.28515625" style="7" bestFit="1" customWidth="1"/>
    <col min="20" max="16384" width="9.140625" style="7"/>
  </cols>
  <sheetData>
    <row r="1" spans="1:11" ht="15" customHeight="1" x14ac:dyDescent="0.25">
      <c r="A1" s="62" t="s">
        <v>143</v>
      </c>
    </row>
    <row r="2" spans="1:11" ht="15" customHeight="1" x14ac:dyDescent="0.25">
      <c r="A2" s="6" t="s">
        <v>133</v>
      </c>
    </row>
    <row r="3" spans="1:11" ht="15" customHeight="1" x14ac:dyDescent="0.25">
      <c r="A3" s="6" t="s">
        <v>142</v>
      </c>
    </row>
    <row r="4" spans="1:11" ht="15" customHeight="1" x14ac:dyDescent="0.3">
      <c r="A4" s="47" t="s">
        <v>94</v>
      </c>
      <c r="J4" s="16" t="str">
        <f>IF(AND($B$15="Apples",$G$28=1505),"Good job! You placed"," ")</f>
        <v xml:space="preserve"> </v>
      </c>
    </row>
    <row r="5" spans="1:11" ht="15" customHeight="1" x14ac:dyDescent="0.3">
      <c r="A5" s="47" t="s">
        <v>128</v>
      </c>
      <c r="J5" s="16" t="str">
        <f>IF(AND($B$15="Apples",$G$28=1505),"a row field on the left,"," ")</f>
        <v xml:space="preserve"> </v>
      </c>
      <c r="K5" s="16"/>
    </row>
    <row r="6" spans="1:11" ht="15" customHeight="1" x14ac:dyDescent="0.3">
      <c r="J6" s="16" t="str">
        <f>IF(AND($B$15="Apples",$G$28=1505),"and a column field with"," ")</f>
        <v xml:space="preserve"> </v>
      </c>
      <c r="K6" s="16"/>
    </row>
    <row r="7" spans="1:11" ht="15" customHeight="1" x14ac:dyDescent="0.3">
      <c r="J7" s="16" t="str">
        <f>IF(AND($B$15="Apples",$G$28=1505),"four new columns. Scroll"," ")</f>
        <v xml:space="preserve"> </v>
      </c>
      <c r="K7" s="16"/>
    </row>
    <row r="8" spans="1:11" ht="15" customHeight="1" x14ac:dyDescent="0.3">
      <c r="J8" s="16" t="str">
        <f>IF(AND($B$15="Apples",$G$28=1505),"down and click Next..."," ")</f>
        <v xml:space="preserve"> </v>
      </c>
    </row>
    <row r="9" spans="1:11" ht="15" customHeight="1" x14ac:dyDescent="0.25"/>
    <row r="10" spans="1:11" ht="15" customHeight="1" x14ac:dyDescent="0.25"/>
    <row r="11" spans="1:11" ht="15" customHeight="1" x14ac:dyDescent="0.25"/>
    <row r="12" spans="1:11" ht="15" customHeight="1" x14ac:dyDescent="0.25"/>
    <row r="13" spans="1:11" ht="15" customHeight="1" x14ac:dyDescent="0.25">
      <c r="B13" t="s">
        <v>82</v>
      </c>
      <c r="C13"/>
      <c r="D13"/>
      <c r="E13"/>
      <c r="F13"/>
      <c r="G13"/>
    </row>
    <row r="14" spans="1:11" ht="15" customHeight="1" x14ac:dyDescent="0.25">
      <c r="B14" s="35">
        <v>17758</v>
      </c>
      <c r="C14"/>
      <c r="D14"/>
      <c r="E14"/>
      <c r="F14"/>
      <c r="G14"/>
    </row>
    <row r="15" spans="1:11" ht="15" customHeight="1" x14ac:dyDescent="0.25">
      <c r="B15"/>
      <c r="C15"/>
      <c r="D15"/>
      <c r="E15"/>
      <c r="F15"/>
      <c r="G15"/>
    </row>
    <row r="16" spans="1:11" ht="15" customHeight="1" x14ac:dyDescent="0.25">
      <c r="B16"/>
      <c r="C16"/>
      <c r="D16"/>
      <c r="E16"/>
      <c r="F16"/>
      <c r="G16"/>
    </row>
    <row r="17" spans="2:7" ht="15" customHeight="1" x14ac:dyDescent="0.25">
      <c r="B17"/>
      <c r="C17"/>
      <c r="D17"/>
      <c r="E17"/>
      <c r="F17"/>
      <c r="G17"/>
    </row>
    <row r="18" spans="2:7" ht="15" customHeight="1" x14ac:dyDescent="0.25">
      <c r="B18"/>
      <c r="C18"/>
      <c r="D18"/>
      <c r="E18"/>
      <c r="F18"/>
      <c r="G18"/>
    </row>
    <row r="19" spans="2:7" x14ac:dyDescent="0.25">
      <c r="B19"/>
      <c r="C19"/>
      <c r="D19"/>
      <c r="E19"/>
      <c r="F19"/>
      <c r="G19"/>
    </row>
    <row r="20" spans="2:7" x14ac:dyDescent="0.25">
      <c r="B20"/>
      <c r="C20"/>
      <c r="D20"/>
      <c r="E20"/>
      <c r="F20"/>
      <c r="G20"/>
    </row>
    <row r="21" spans="2:7" x14ac:dyDescent="0.25">
      <c r="B21"/>
      <c r="C21"/>
      <c r="D21"/>
      <c r="E21"/>
      <c r="F21"/>
      <c r="G21"/>
    </row>
    <row r="22" spans="2:7" x14ac:dyDescent="0.25">
      <c r="B22"/>
      <c r="C22"/>
      <c r="D22"/>
      <c r="E22"/>
      <c r="F22"/>
      <c r="G22"/>
    </row>
    <row r="23" spans="2:7" x14ac:dyDescent="0.25">
      <c r="B23"/>
      <c r="C23"/>
      <c r="D23"/>
      <c r="E23"/>
      <c r="F23"/>
      <c r="G23"/>
    </row>
    <row r="24" spans="2:7" x14ac:dyDescent="0.25">
      <c r="B24"/>
      <c r="C24"/>
      <c r="D24"/>
      <c r="E24"/>
      <c r="F24"/>
      <c r="G24"/>
    </row>
    <row r="25" spans="2:7" x14ac:dyDescent="0.25">
      <c r="B25"/>
      <c r="C25"/>
      <c r="D25"/>
      <c r="E25"/>
      <c r="F25"/>
      <c r="G25"/>
    </row>
    <row r="26" spans="2:7" x14ac:dyDescent="0.25">
      <c r="B26"/>
      <c r="C26"/>
      <c r="D26"/>
      <c r="E26"/>
      <c r="F26"/>
      <c r="G26"/>
    </row>
    <row r="27" spans="2:7" x14ac:dyDescent="0.25">
      <c r="B27"/>
      <c r="C27"/>
      <c r="D27"/>
      <c r="E27"/>
      <c r="F27"/>
      <c r="G27"/>
    </row>
    <row r="28" spans="2:7" x14ac:dyDescent="0.25">
      <c r="B28"/>
      <c r="C28"/>
      <c r="D28"/>
      <c r="E28"/>
      <c r="F28"/>
      <c r="G28"/>
    </row>
    <row r="29" spans="2:7" x14ac:dyDescent="0.25">
      <c r="B29"/>
      <c r="C29"/>
      <c r="D29"/>
      <c r="E29"/>
      <c r="F29"/>
      <c r="G29"/>
    </row>
    <row r="30" spans="2:7" x14ac:dyDescent="0.25">
      <c r="B30"/>
      <c r="C30"/>
    </row>
  </sheetData>
  <hyperlinks>
    <hyperlink ref="A5" r:id="rId2"/>
  </hyperlinks>
  <pageMargins left="0.7" right="0.7" top="0.75" bottom="0.75" header="0.3" footer="0.3"/>
  <pageSetup orientation="portrait" r:id="rId3"/>
  <drawing r:id="rId4"/>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dimension ref="A1:S33"/>
  <sheetViews>
    <sheetView showGridLines="0" workbookViewId="0"/>
  </sheetViews>
  <sheetFormatPr defaultColWidth="9.140625" defaultRowHeight="15" x14ac:dyDescent="0.25"/>
  <cols>
    <col min="1" max="1" width="9.140625" style="6"/>
    <col min="2" max="18" width="10.7109375" style="7" customWidth="1"/>
    <col min="19" max="19" width="10.140625" style="7" bestFit="1" customWidth="1"/>
    <col min="20" max="59" width="9.140625" style="7" customWidth="1"/>
    <col min="60" max="60" width="9.140625" style="7"/>
    <col min="61" max="66" width="9.140625" style="7" customWidth="1"/>
    <col min="67" max="16384" width="9.140625" style="7"/>
  </cols>
  <sheetData>
    <row r="1" spans="1:19" ht="15" customHeight="1" x14ac:dyDescent="0.25">
      <c r="A1" s="63" t="s">
        <v>145</v>
      </c>
    </row>
    <row r="2" spans="1:19" ht="15" customHeight="1" x14ac:dyDescent="0.25">
      <c r="A2" s="6" t="s">
        <v>133</v>
      </c>
    </row>
    <row r="3" spans="1:19" ht="15" customHeight="1" x14ac:dyDescent="0.25">
      <c r="A3" s="6" t="s">
        <v>144</v>
      </c>
    </row>
    <row r="4" spans="1:19" ht="15" customHeight="1" x14ac:dyDescent="0.25">
      <c r="A4" s="47" t="s">
        <v>94</v>
      </c>
    </row>
    <row r="5" spans="1:19" ht="15" customHeight="1" x14ac:dyDescent="0.3">
      <c r="A5" s="47" t="s">
        <v>128</v>
      </c>
      <c r="J5" s="16" t="str">
        <f>IF(AND($B$14="Dave",$C$14=5036),"Good job! Now the data is"," ")</f>
        <v xml:space="preserve"> </v>
      </c>
    </row>
    <row r="6" spans="1:19" ht="15" customHeight="1" x14ac:dyDescent="0.3">
      <c r="J6" s="16" t="str">
        <f>IF(AND($B$14="Dave",$C$14=5036),"easier to read. Scroll down"," ")</f>
        <v xml:space="preserve"> </v>
      </c>
    </row>
    <row r="7" spans="1:19" ht="15" customHeight="1" x14ac:dyDescent="0.3">
      <c r="J7" s="16" t="str">
        <f>IF(AND($B$14="Dave",$C$14=5036),"and click Next..."," ")</f>
        <v xml:space="preserve"> </v>
      </c>
    </row>
    <row r="8" spans="1:19" ht="15" customHeight="1" x14ac:dyDescent="0.25"/>
    <row r="9" spans="1:19" ht="15" customHeight="1" x14ac:dyDescent="0.25"/>
    <row r="10" spans="1:19" ht="15" customHeight="1" x14ac:dyDescent="0.25"/>
    <row r="11" spans="1:19" ht="15" customHeight="1" x14ac:dyDescent="0.25"/>
    <row r="12" spans="1:19" ht="15" customHeight="1" x14ac:dyDescent="0.25"/>
    <row r="13" spans="1:19" ht="15" customHeight="1" x14ac:dyDescent="0.25">
      <c r="B13"/>
      <c r="C13" s="28" t="s">
        <v>44</v>
      </c>
      <c r="D13"/>
      <c r="E13"/>
      <c r="F13"/>
      <c r="G13"/>
      <c r="H13"/>
      <c r="I13"/>
      <c r="J13"/>
      <c r="K13"/>
      <c r="L13"/>
      <c r="M13"/>
      <c r="N13"/>
      <c r="O13"/>
      <c r="P13"/>
      <c r="Q13"/>
      <c r="R13"/>
      <c r="S13"/>
    </row>
    <row r="14" spans="1:19" ht="15" customHeight="1" x14ac:dyDescent="0.25">
      <c r="B14"/>
      <c r="C14" t="s">
        <v>68</v>
      </c>
      <c r="D14"/>
      <c r="E14"/>
      <c r="F14"/>
      <c r="G14" t="s">
        <v>125</v>
      </c>
      <c r="H14" t="s">
        <v>66</v>
      </c>
      <c r="I14"/>
      <c r="J14"/>
      <c r="K14"/>
      <c r="L14" t="s">
        <v>126</v>
      </c>
      <c r="M14" t="s">
        <v>64</v>
      </c>
      <c r="N14"/>
      <c r="O14"/>
      <c r="P14"/>
      <c r="Q14" t="s">
        <v>127</v>
      </c>
      <c r="R14" t="s">
        <v>16</v>
      </c>
      <c r="S14"/>
    </row>
    <row r="15" spans="1:19" ht="15" customHeight="1" x14ac:dyDescent="0.25">
      <c r="B15"/>
      <c r="C15" t="s">
        <v>54</v>
      </c>
      <c r="D15" t="s">
        <v>57</v>
      </c>
      <c r="E15" t="s">
        <v>58</v>
      </c>
      <c r="F15" t="s">
        <v>59</v>
      </c>
      <c r="G15"/>
      <c r="H15" t="s">
        <v>54</v>
      </c>
      <c r="I15" t="s">
        <v>57</v>
      </c>
      <c r="J15" t="s">
        <v>58</v>
      </c>
      <c r="K15" t="s">
        <v>59</v>
      </c>
      <c r="L15"/>
      <c r="M15" t="s">
        <v>54</v>
      </c>
      <c r="N15" t="s">
        <v>57</v>
      </c>
      <c r="O15" t="s">
        <v>58</v>
      </c>
      <c r="P15" t="s">
        <v>59</v>
      </c>
      <c r="Q15"/>
      <c r="R15"/>
      <c r="S15"/>
    </row>
    <row r="16" spans="1:19" ht="15" customHeight="1" x14ac:dyDescent="0.25">
      <c r="B16" t="s">
        <v>82</v>
      </c>
      <c r="C16" s="32">
        <v>933</v>
      </c>
      <c r="D16" s="32">
        <v>1320</v>
      </c>
      <c r="E16" s="32">
        <v>1133</v>
      </c>
      <c r="F16" s="32">
        <v>1650</v>
      </c>
      <c r="G16" s="32">
        <v>5036</v>
      </c>
      <c r="H16" s="32">
        <v>3220</v>
      </c>
      <c r="I16" s="32">
        <v>2400</v>
      </c>
      <c r="J16" s="32">
        <v>1260</v>
      </c>
      <c r="K16" s="32">
        <v>1420</v>
      </c>
      <c r="L16" s="32">
        <v>8300</v>
      </c>
      <c r="M16" s="32">
        <v>1272</v>
      </c>
      <c r="N16" s="32">
        <v>1040</v>
      </c>
      <c r="O16" s="32">
        <v>1080</v>
      </c>
      <c r="P16" s="32">
        <v>1030</v>
      </c>
      <c r="Q16" s="32">
        <v>4422</v>
      </c>
      <c r="R16" s="32">
        <v>17758</v>
      </c>
      <c r="S16"/>
    </row>
    <row r="17" spans="2:7" ht="15" customHeight="1" x14ac:dyDescent="0.25">
      <c r="B17"/>
      <c r="C17"/>
      <c r="D17"/>
      <c r="E17"/>
      <c r="F17"/>
      <c r="G17"/>
    </row>
    <row r="18" spans="2:7" ht="15" customHeight="1" x14ac:dyDescent="0.25">
      <c r="B18"/>
      <c r="C18"/>
      <c r="D18"/>
      <c r="E18"/>
      <c r="F18"/>
      <c r="G18"/>
    </row>
    <row r="19" spans="2:7" ht="15" customHeight="1" x14ac:dyDescent="0.25">
      <c r="B19"/>
      <c r="C19"/>
      <c r="D19"/>
      <c r="E19"/>
      <c r="F19"/>
    </row>
    <row r="20" spans="2:7" ht="15" customHeight="1" x14ac:dyDescent="0.25">
      <c r="B20"/>
      <c r="C20"/>
    </row>
    <row r="21" spans="2:7" ht="15" customHeight="1" x14ac:dyDescent="0.25">
      <c r="B21"/>
      <c r="C21"/>
    </row>
    <row r="22" spans="2:7" ht="15" customHeight="1" x14ac:dyDescent="0.25">
      <c r="B22"/>
      <c r="C22"/>
    </row>
    <row r="23" spans="2:7" ht="15" customHeight="1" x14ac:dyDescent="0.25">
      <c r="B23"/>
      <c r="C23"/>
    </row>
    <row r="24" spans="2:7" ht="15" customHeight="1" x14ac:dyDescent="0.25">
      <c r="B24"/>
      <c r="C24"/>
    </row>
    <row r="25" spans="2:7" ht="15" customHeight="1" x14ac:dyDescent="0.25">
      <c r="B25"/>
      <c r="C25"/>
    </row>
    <row r="26" spans="2:7" ht="15" customHeight="1" x14ac:dyDescent="0.25">
      <c r="B26"/>
      <c r="C26"/>
    </row>
    <row r="27" spans="2:7" ht="15" customHeight="1" x14ac:dyDescent="0.25">
      <c r="B27"/>
      <c r="C27"/>
    </row>
    <row r="28" spans="2:7" ht="15" customHeight="1" x14ac:dyDescent="0.25">
      <c r="B28"/>
      <c r="C28"/>
    </row>
    <row r="29" spans="2:7" ht="15" customHeight="1" x14ac:dyDescent="0.25">
      <c r="B29"/>
      <c r="C29"/>
    </row>
    <row r="30" spans="2:7" ht="15" customHeight="1" x14ac:dyDescent="0.25">
      <c r="B30"/>
      <c r="C30"/>
    </row>
    <row r="31" spans="2:7" ht="15" customHeight="1" x14ac:dyDescent="0.25"/>
    <row r="32" spans="2:7" ht="15" customHeight="1" x14ac:dyDescent="0.25"/>
    <row r="33" ht="15" customHeight="1" x14ac:dyDescent="0.25"/>
  </sheetData>
  <hyperlinks>
    <hyperlink ref="A5" r:id="rId2"/>
  </hyperlinks>
  <pageMargins left="0.7" right="0.7" top="0.75" bottom="0.75" header="0.3" footer="0.3"/>
  <pageSetup orientation="portrait" r:id="rId3"/>
  <drawing r:id="rId4"/>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dimension ref="A1:I92"/>
  <sheetViews>
    <sheetView showGridLines="0" workbookViewId="0"/>
  </sheetViews>
  <sheetFormatPr defaultColWidth="9.140625" defaultRowHeight="15" x14ac:dyDescent="0.25"/>
  <cols>
    <col min="1" max="1" width="9.140625" style="6"/>
    <col min="2" max="2" width="16.5703125" style="7" bestFit="1" customWidth="1"/>
    <col min="3" max="14" width="10.7109375" style="7" customWidth="1"/>
    <col min="15" max="15" width="9.140625" style="7" bestFit="1" customWidth="1"/>
    <col min="16" max="16" width="7.5703125" style="7" bestFit="1" customWidth="1"/>
    <col min="17" max="17" width="6.140625" style="7" bestFit="1" customWidth="1"/>
    <col min="18" max="18" width="12.140625" style="7" bestFit="1" customWidth="1"/>
    <col min="19" max="19" width="11.28515625" style="7" bestFit="1" customWidth="1"/>
    <col min="20" max="20" width="11.42578125" style="7" bestFit="1" customWidth="1"/>
    <col min="21" max="21" width="10.85546875" style="7" bestFit="1" customWidth="1"/>
    <col min="22" max="22" width="13.140625" style="7" bestFit="1" customWidth="1"/>
    <col min="23" max="23" width="7.5703125" style="7" bestFit="1" customWidth="1"/>
    <col min="24" max="24" width="6.140625" style="7" bestFit="1" customWidth="1"/>
    <col min="25" max="25" width="13.42578125" style="7" bestFit="1" customWidth="1"/>
    <col min="26" max="26" width="16.28515625" style="7" bestFit="1" customWidth="1"/>
    <col min="27" max="27" width="12.140625" style="7" bestFit="1" customWidth="1"/>
    <col min="28" max="28" width="7.5703125" style="7" bestFit="1" customWidth="1"/>
    <col min="29" max="29" width="6.140625" style="7" bestFit="1" customWidth="1"/>
    <col min="30" max="30" width="12.140625" style="7" bestFit="1" customWidth="1"/>
    <col min="31" max="31" width="15.28515625" style="7" bestFit="1" customWidth="1"/>
    <col min="32" max="32" width="10.28515625" style="7" bestFit="1" customWidth="1"/>
    <col min="33" max="33" width="7.5703125" style="7" bestFit="1" customWidth="1"/>
    <col min="34" max="34" width="6.140625" style="7" bestFit="1" customWidth="1"/>
    <col min="35" max="35" width="13.42578125" style="7" bestFit="1" customWidth="1"/>
    <col min="36" max="36" width="12.140625" style="7" bestFit="1" customWidth="1"/>
    <col min="37" max="37" width="9.42578125" style="7" bestFit="1" customWidth="1"/>
    <col min="38" max="38" width="7.5703125" style="7" bestFit="1" customWidth="1"/>
    <col min="39" max="39" width="6.140625" style="7" bestFit="1" customWidth="1"/>
    <col min="40" max="40" width="11.42578125" style="7" bestFit="1" customWidth="1"/>
    <col min="41" max="41" width="12.42578125" style="7" bestFit="1" customWidth="1"/>
    <col min="42" max="42" width="10.140625" style="7" bestFit="1" customWidth="1"/>
    <col min="43" max="43" width="7.5703125" style="7" bestFit="1" customWidth="1"/>
    <col min="44" max="44" width="6.140625" style="7" bestFit="1" customWidth="1"/>
    <col min="45" max="45" width="9" style="7" bestFit="1" customWidth="1"/>
    <col min="46" max="46" width="9.140625" style="7" bestFit="1" customWidth="1"/>
    <col min="47" max="47" width="7.5703125" style="7" bestFit="1" customWidth="1"/>
    <col min="48" max="48" width="6.140625" style="7" bestFit="1" customWidth="1"/>
    <col min="49" max="49" width="12.140625" style="7" bestFit="1" customWidth="1"/>
    <col min="50" max="50" width="13.28515625" style="7" bestFit="1" customWidth="1"/>
    <col min="51" max="51" width="10.7109375" style="7" bestFit="1" customWidth="1"/>
    <col min="52" max="52" width="7.5703125" style="7" bestFit="1" customWidth="1"/>
    <col min="53" max="53" width="6.140625" style="7" bestFit="1" customWidth="1"/>
    <col min="54" max="54" width="11.42578125" style="7" bestFit="1" customWidth="1"/>
    <col min="55" max="55" width="13.85546875" style="7" bestFit="1" customWidth="1"/>
    <col min="56" max="56" width="11.5703125" style="7" bestFit="1" customWidth="1"/>
    <col min="57" max="57" width="7.5703125" style="7" bestFit="1" customWidth="1"/>
    <col min="58" max="58" width="6.140625" style="7" bestFit="1" customWidth="1"/>
    <col min="59" max="59" width="13.42578125" style="7" bestFit="1" customWidth="1"/>
    <col min="60" max="60" width="14.7109375" style="7" bestFit="1" customWidth="1"/>
    <col min="61" max="61" width="10.7109375" style="7" bestFit="1" customWidth="1"/>
    <col min="62" max="62" width="7.5703125" style="7" bestFit="1" customWidth="1"/>
    <col min="63" max="63" width="6.140625" style="7" bestFit="1" customWidth="1"/>
    <col min="64" max="64" width="11.42578125" style="7" bestFit="1" customWidth="1"/>
    <col min="65" max="65" width="13.85546875" style="7" bestFit="1" customWidth="1"/>
    <col min="66" max="66" width="9.140625" style="7" bestFit="1" customWidth="1"/>
    <col min="67" max="67" width="7.5703125" style="7" bestFit="1" customWidth="1"/>
    <col min="68" max="68" width="6.140625" style="7" bestFit="1" customWidth="1"/>
    <col min="69" max="69" width="9" style="7" bestFit="1" customWidth="1"/>
    <col min="70" max="70" width="12.140625" style="7" bestFit="1" customWidth="1"/>
    <col min="71" max="71" width="14.140625" style="7" bestFit="1" customWidth="1"/>
    <col min="72" max="72" width="7.5703125" style="7" bestFit="1" customWidth="1"/>
    <col min="73" max="73" width="6.140625" style="7" bestFit="1" customWidth="1"/>
    <col min="74" max="74" width="13.42578125" style="7" bestFit="1" customWidth="1"/>
    <col min="75" max="75" width="17.42578125" style="7" bestFit="1" customWidth="1"/>
    <col min="76" max="76" width="10.140625" style="7" bestFit="1" customWidth="1"/>
    <col min="77" max="77" width="7.5703125" style="7" bestFit="1" customWidth="1"/>
    <col min="78" max="78" width="6.140625" style="7" bestFit="1" customWidth="1"/>
    <col min="79" max="79" width="9" style="7" bestFit="1" customWidth="1"/>
    <col min="80" max="80" width="13.28515625" style="7" bestFit="1" customWidth="1"/>
    <col min="81" max="81" width="11.28515625" style="7" bestFit="1" customWidth="1"/>
    <col min="82" max="16384" width="9.140625" style="7"/>
  </cols>
  <sheetData>
    <row r="1" spans="1:9" ht="15" customHeight="1" x14ac:dyDescent="0.25">
      <c r="A1" s="63" t="s">
        <v>148</v>
      </c>
    </row>
    <row r="2" spans="1:9" ht="15" customHeight="1" x14ac:dyDescent="0.25">
      <c r="A2" s="6" t="s">
        <v>133</v>
      </c>
    </row>
    <row r="3" spans="1:9" ht="15" customHeight="1" x14ac:dyDescent="0.25">
      <c r="A3" s="6" t="s">
        <v>147</v>
      </c>
    </row>
    <row r="4" spans="1:9" ht="15" customHeight="1" x14ac:dyDescent="0.25">
      <c r="A4" s="6" t="s">
        <v>146</v>
      </c>
    </row>
    <row r="5" spans="1:9" ht="15" customHeight="1" x14ac:dyDescent="0.25">
      <c r="A5" s="47" t="s">
        <v>94</v>
      </c>
    </row>
    <row r="6" spans="1:9" ht="15" customHeight="1" x14ac:dyDescent="0.25">
      <c r="A6" s="47" t="s">
        <v>128</v>
      </c>
    </row>
    <row r="7" spans="1:9" ht="15" customHeight="1" x14ac:dyDescent="0.3">
      <c r="B7" s="16" t="str">
        <f>IF(AND($B$14="Dave",$C$16=4422),"Good job!"," ")</f>
        <v xml:space="preserve"> </v>
      </c>
      <c r="D7" s="16"/>
    </row>
    <row r="8" spans="1:9" ht="15" customHeight="1" x14ac:dyDescent="0.25">
      <c r="I8" s="23" t="s">
        <v>81</v>
      </c>
    </row>
    <row r="9" spans="1:9" ht="15" customHeight="1" x14ac:dyDescent="0.25">
      <c r="I9" s="22"/>
    </row>
    <row r="10" spans="1:9" ht="15" customHeight="1" x14ac:dyDescent="0.3">
      <c r="I10" s="16" t="str">
        <f>IF($I$9=400,"You're right!",IF($I$9=530,"Try again…",IF($I$9=123,"Not quite…"," ")))</f>
        <v xml:space="preserve"> </v>
      </c>
    </row>
    <row r="11" spans="1:9" ht="15" customHeight="1" x14ac:dyDescent="0.25"/>
    <row r="12" spans="1:9" ht="15" customHeight="1" x14ac:dyDescent="0.25"/>
    <row r="13" spans="1:9" ht="15" customHeight="1" x14ac:dyDescent="0.25">
      <c r="B13" t="s">
        <v>82</v>
      </c>
      <c r="C13"/>
      <c r="D13"/>
      <c r="E13"/>
      <c r="F13"/>
    </row>
    <row r="14" spans="1:9" ht="15" customHeight="1" x14ac:dyDescent="0.25">
      <c r="B14" s="32">
        <v>17758</v>
      </c>
      <c r="C14"/>
      <c r="D14"/>
      <c r="E14"/>
      <c r="F14"/>
    </row>
    <row r="15" spans="1:9" ht="15" customHeight="1" x14ac:dyDescent="0.25">
      <c r="B15"/>
      <c r="C15"/>
      <c r="D15"/>
      <c r="E15"/>
      <c r="F15"/>
    </row>
    <row r="16" spans="1:9" ht="15" customHeight="1" x14ac:dyDescent="0.25">
      <c r="B16"/>
      <c r="C16"/>
      <c r="D16"/>
      <c r="E16"/>
      <c r="F16"/>
    </row>
    <row r="17" spans="2:6" ht="15" customHeight="1" x14ac:dyDescent="0.25">
      <c r="B17"/>
      <c r="C17"/>
      <c r="D17"/>
      <c r="E17"/>
      <c r="F17"/>
    </row>
    <row r="18" spans="2:6" ht="15" customHeight="1" x14ac:dyDescent="0.25">
      <c r="B18"/>
      <c r="C18"/>
      <c r="D18"/>
      <c r="E18"/>
      <c r="F18"/>
    </row>
    <row r="19" spans="2:6" ht="15" customHeight="1" x14ac:dyDescent="0.25">
      <c r="B19"/>
      <c r="C19"/>
      <c r="D19"/>
      <c r="E19"/>
      <c r="F19"/>
    </row>
    <row r="20" spans="2:6" ht="15" customHeight="1" x14ac:dyDescent="0.25">
      <c r="B20"/>
      <c r="C20"/>
      <c r="D20"/>
      <c r="E20"/>
      <c r="F20"/>
    </row>
    <row r="21" spans="2:6" ht="15" customHeight="1" x14ac:dyDescent="0.25">
      <c r="B21"/>
      <c r="C21"/>
      <c r="D21"/>
      <c r="E21"/>
      <c r="F21"/>
    </row>
    <row r="22" spans="2:6" ht="15" customHeight="1" x14ac:dyDescent="0.25">
      <c r="B22"/>
      <c r="C22"/>
      <c r="D22"/>
      <c r="E22"/>
      <c r="F22"/>
    </row>
    <row r="23" spans="2:6" ht="15" customHeight="1" x14ac:dyDescent="0.25">
      <c r="B23"/>
      <c r="C23"/>
      <c r="D23"/>
      <c r="E23"/>
      <c r="F23"/>
    </row>
    <row r="24" spans="2:6" ht="15" customHeight="1" x14ac:dyDescent="0.25">
      <c r="B24"/>
      <c r="C24"/>
      <c r="D24"/>
      <c r="E24"/>
      <c r="F24"/>
    </row>
    <row r="25" spans="2:6" ht="15" customHeight="1" x14ac:dyDescent="0.25">
      <c r="B25"/>
      <c r="C25"/>
      <c r="D25"/>
      <c r="E25"/>
      <c r="F25"/>
    </row>
    <row r="26" spans="2:6" ht="15" customHeight="1" x14ac:dyDescent="0.25">
      <c r="B26"/>
      <c r="C26"/>
      <c r="D26"/>
      <c r="E26"/>
      <c r="F26"/>
    </row>
    <row r="27" spans="2:6" ht="15" customHeight="1" x14ac:dyDescent="0.25">
      <c r="B27"/>
      <c r="C27"/>
      <c r="D27"/>
      <c r="E27"/>
      <c r="F27"/>
    </row>
    <row r="28" spans="2:6" ht="15" customHeight="1" x14ac:dyDescent="0.25">
      <c r="B28"/>
      <c r="C28"/>
      <c r="D28"/>
      <c r="E28"/>
      <c r="F28"/>
    </row>
    <row r="29" spans="2:6" ht="15" customHeight="1" x14ac:dyDescent="0.25">
      <c r="B29"/>
      <c r="C29"/>
      <c r="D29"/>
      <c r="E29"/>
      <c r="F29"/>
    </row>
    <row r="30" spans="2:6" ht="15" customHeight="1" x14ac:dyDescent="0.25">
      <c r="B30"/>
      <c r="C30"/>
      <c r="D30"/>
      <c r="E30"/>
      <c r="F30"/>
    </row>
    <row r="31" spans="2:6" ht="15" customHeight="1" x14ac:dyDescent="0.25">
      <c r="B31"/>
      <c r="C31"/>
      <c r="D31"/>
      <c r="E31"/>
      <c r="F31"/>
    </row>
    <row r="32" spans="2:6" ht="15" customHeight="1" x14ac:dyDescent="0.25">
      <c r="B32"/>
      <c r="C32"/>
      <c r="D32"/>
      <c r="E32"/>
      <c r="F32"/>
    </row>
    <row r="33" spans="2:6" ht="15" customHeight="1" x14ac:dyDescent="0.25">
      <c r="B33"/>
      <c r="C33"/>
      <c r="D33"/>
      <c r="E33"/>
      <c r="F33"/>
    </row>
    <row r="34" spans="2:6" ht="15" customHeight="1" x14ac:dyDescent="0.25">
      <c r="B34"/>
      <c r="C34"/>
      <c r="D34"/>
      <c r="E34"/>
      <c r="F34"/>
    </row>
    <row r="35" spans="2:6" ht="15" customHeight="1" x14ac:dyDescent="0.25">
      <c r="B35"/>
      <c r="C35"/>
      <c r="D35"/>
      <c r="E35"/>
      <c r="F35"/>
    </row>
    <row r="36" spans="2:6" ht="15" customHeight="1" x14ac:dyDescent="0.25">
      <c r="B36"/>
      <c r="C36"/>
    </row>
    <row r="37" spans="2:6" ht="15" customHeight="1" x14ac:dyDescent="0.25">
      <c r="B37"/>
      <c r="C37"/>
    </row>
    <row r="38" spans="2:6" ht="15" customHeight="1" x14ac:dyDescent="0.25">
      <c r="B38"/>
      <c r="C38"/>
    </row>
    <row r="39" spans="2:6" x14ac:dyDescent="0.25">
      <c r="B39"/>
      <c r="C39"/>
    </row>
    <row r="40" spans="2:6" x14ac:dyDescent="0.25">
      <c r="B40"/>
      <c r="C40"/>
    </row>
    <row r="41" spans="2:6" x14ac:dyDescent="0.25">
      <c r="B41"/>
      <c r="C41"/>
    </row>
    <row r="42" spans="2:6" x14ac:dyDescent="0.25">
      <c r="B42"/>
      <c r="C42"/>
    </row>
    <row r="43" spans="2:6" x14ac:dyDescent="0.25">
      <c r="B43"/>
      <c r="C43"/>
    </row>
    <row r="44" spans="2:6" x14ac:dyDescent="0.25">
      <c r="B44"/>
      <c r="C44"/>
    </row>
    <row r="45" spans="2:6" x14ac:dyDescent="0.25">
      <c r="B45"/>
      <c r="C45"/>
    </row>
    <row r="46" spans="2:6" x14ac:dyDescent="0.25">
      <c r="B46"/>
      <c r="C46"/>
    </row>
    <row r="47" spans="2:6" x14ac:dyDescent="0.25">
      <c r="B47"/>
      <c r="C47"/>
    </row>
    <row r="48" spans="2:6" x14ac:dyDescent="0.25">
      <c r="B48"/>
      <c r="C48"/>
    </row>
    <row r="49" spans="2:3" x14ac:dyDescent="0.25">
      <c r="B49"/>
      <c r="C49"/>
    </row>
    <row r="50" spans="2:3" x14ac:dyDescent="0.25">
      <c r="B50"/>
      <c r="C50"/>
    </row>
    <row r="51" spans="2:3" x14ac:dyDescent="0.25">
      <c r="B51"/>
      <c r="C51"/>
    </row>
    <row r="52" spans="2:3" x14ac:dyDescent="0.25">
      <c r="B52"/>
      <c r="C52"/>
    </row>
    <row r="53" spans="2:3" x14ac:dyDescent="0.25">
      <c r="B53"/>
      <c r="C53"/>
    </row>
    <row r="54" spans="2:3" x14ac:dyDescent="0.25">
      <c r="B54"/>
      <c r="C54"/>
    </row>
    <row r="55" spans="2:3" x14ac:dyDescent="0.25">
      <c r="B55"/>
      <c r="C55"/>
    </row>
    <row r="56" spans="2:3" x14ac:dyDescent="0.25">
      <c r="B56"/>
      <c r="C56"/>
    </row>
    <row r="57" spans="2:3" x14ac:dyDescent="0.25">
      <c r="B57"/>
      <c r="C57"/>
    </row>
    <row r="58" spans="2:3" x14ac:dyDescent="0.25">
      <c r="B58"/>
      <c r="C58"/>
    </row>
    <row r="59" spans="2:3" x14ac:dyDescent="0.25">
      <c r="B59"/>
      <c r="C59"/>
    </row>
    <row r="60" spans="2:3" x14ac:dyDescent="0.25">
      <c r="B60"/>
      <c r="C60"/>
    </row>
    <row r="61" spans="2:3" x14ac:dyDescent="0.25">
      <c r="B61"/>
      <c r="C61"/>
    </row>
    <row r="62" spans="2:3" x14ac:dyDescent="0.25">
      <c r="B62"/>
      <c r="C62"/>
    </row>
    <row r="63" spans="2:3" x14ac:dyDescent="0.25">
      <c r="B63"/>
      <c r="C63"/>
    </row>
    <row r="64" spans="2:3" x14ac:dyDescent="0.25">
      <c r="B64"/>
      <c r="C64"/>
    </row>
    <row r="65" spans="2:3" x14ac:dyDescent="0.25">
      <c r="B65"/>
      <c r="C65"/>
    </row>
    <row r="66" spans="2:3" x14ac:dyDescent="0.25">
      <c r="B66"/>
      <c r="C66"/>
    </row>
    <row r="67" spans="2:3" x14ac:dyDescent="0.25">
      <c r="B67"/>
      <c r="C67"/>
    </row>
    <row r="68" spans="2:3" x14ac:dyDescent="0.25">
      <c r="B68"/>
      <c r="C68"/>
    </row>
    <row r="69" spans="2:3" x14ac:dyDescent="0.25">
      <c r="B69"/>
      <c r="C69"/>
    </row>
    <row r="70" spans="2:3" x14ac:dyDescent="0.25">
      <c r="B70"/>
      <c r="C70"/>
    </row>
    <row r="71" spans="2:3" x14ac:dyDescent="0.25">
      <c r="B71"/>
      <c r="C71"/>
    </row>
    <row r="72" spans="2:3" x14ac:dyDescent="0.25">
      <c r="B72"/>
      <c r="C72"/>
    </row>
    <row r="73" spans="2:3" x14ac:dyDescent="0.25">
      <c r="B73"/>
      <c r="C73"/>
    </row>
    <row r="74" spans="2:3" x14ac:dyDescent="0.25">
      <c r="B74"/>
      <c r="C74"/>
    </row>
    <row r="75" spans="2:3" x14ac:dyDescent="0.25">
      <c r="B75"/>
      <c r="C75"/>
    </row>
    <row r="76" spans="2:3" x14ac:dyDescent="0.25">
      <c r="B76"/>
      <c r="C76"/>
    </row>
    <row r="77" spans="2:3" x14ac:dyDescent="0.25">
      <c r="B77"/>
      <c r="C77"/>
    </row>
    <row r="78" spans="2:3" x14ac:dyDescent="0.25">
      <c r="B78"/>
      <c r="C78"/>
    </row>
    <row r="79" spans="2:3" x14ac:dyDescent="0.25">
      <c r="B79"/>
      <c r="C79"/>
    </row>
    <row r="80" spans="2:3" x14ac:dyDescent="0.25">
      <c r="B80"/>
      <c r="C80"/>
    </row>
    <row r="81" spans="2:3" x14ac:dyDescent="0.25">
      <c r="B81"/>
      <c r="C81"/>
    </row>
    <row r="82" spans="2:3" x14ac:dyDescent="0.25">
      <c r="B82"/>
      <c r="C82"/>
    </row>
    <row r="83" spans="2:3" x14ac:dyDescent="0.25">
      <c r="B83"/>
      <c r="C83"/>
    </row>
    <row r="84" spans="2:3" x14ac:dyDescent="0.25">
      <c r="B84"/>
      <c r="C84"/>
    </row>
    <row r="85" spans="2:3" x14ac:dyDescent="0.25">
      <c r="B85"/>
      <c r="C85"/>
    </row>
    <row r="86" spans="2:3" x14ac:dyDescent="0.25">
      <c r="B86"/>
      <c r="C86"/>
    </row>
    <row r="87" spans="2:3" x14ac:dyDescent="0.25">
      <c r="B87"/>
      <c r="C87"/>
    </row>
    <row r="88" spans="2:3" x14ac:dyDescent="0.25">
      <c r="B88"/>
      <c r="C88"/>
    </row>
    <row r="89" spans="2:3" x14ac:dyDescent="0.25">
      <c r="B89"/>
      <c r="C89"/>
    </row>
    <row r="90" spans="2:3" x14ac:dyDescent="0.25">
      <c r="B90"/>
      <c r="C90"/>
    </row>
    <row r="91" spans="2:3" x14ac:dyDescent="0.25">
      <c r="B91"/>
      <c r="C91"/>
    </row>
    <row r="92" spans="2:3" x14ac:dyDescent="0.25">
      <c r="B92"/>
      <c r="C92"/>
    </row>
  </sheetData>
  <dataValidations count="1">
    <dataValidation type="list" allowBlank="1" showInputMessage="1" showErrorMessage="1" sqref="I9">
      <formula1>"530,123,400, ,"</formula1>
    </dataValidation>
  </dataValidations>
  <hyperlinks>
    <hyperlink ref="A6" r:id="rId2"/>
  </hyperlinks>
  <pageMargins left="0.7" right="0.7" top="0.75" bottom="0.75" header="0.3" footer="0.3"/>
  <pageSetup orientation="portrait" r:id="rId3"/>
  <drawing r:id="rId4"/>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ws_LearnMore">
    <tabColor theme="9"/>
    <pageSetUpPr fitToPage="1"/>
  </sheetPr>
  <dimension ref="A1:B13"/>
  <sheetViews>
    <sheetView showGridLines="0" showRowColHeaders="0" zoomScaleNormal="100" workbookViewId="0">
      <selection activeCell="K4" sqref="K4"/>
    </sheetView>
  </sheetViews>
  <sheetFormatPr defaultColWidth="8.85546875" defaultRowHeight="14.65" customHeight="1" x14ac:dyDescent="0.25"/>
  <cols>
    <col min="1" max="1" width="8.85546875" style="6"/>
    <col min="2" max="2" width="95.140625" style="24" customWidth="1"/>
    <col min="3" max="16384" width="8.85546875" style="24"/>
  </cols>
  <sheetData>
    <row r="1" spans="1:2" ht="14.65" customHeight="1" x14ac:dyDescent="0.25">
      <c r="A1" s="6" t="s">
        <v>83</v>
      </c>
    </row>
    <row r="2" spans="1:2" s="25" customFormat="1" ht="14.65" customHeight="1" x14ac:dyDescent="0.3">
      <c r="A2" s="6" t="s">
        <v>84</v>
      </c>
      <c r="B2" s="24"/>
    </row>
    <row r="3" spans="1:2" s="25" customFormat="1" ht="14.65" customHeight="1" x14ac:dyDescent="0.3">
      <c r="A3" s="47" t="s">
        <v>85</v>
      </c>
      <c r="B3" s="24"/>
    </row>
    <row r="4" spans="1:2" s="26" customFormat="1" ht="14.65" customHeight="1" x14ac:dyDescent="0.7">
      <c r="A4" s="47" t="s">
        <v>86</v>
      </c>
      <c r="B4" s="24"/>
    </row>
    <row r="5" spans="1:2" s="27" customFormat="1" ht="14.65" customHeight="1" x14ac:dyDescent="0.25">
      <c r="A5" s="47" t="s">
        <v>87</v>
      </c>
      <c r="B5" s="24"/>
    </row>
    <row r="6" spans="1:2" s="27" customFormat="1" ht="14.65" customHeight="1" x14ac:dyDescent="0.25">
      <c r="A6" s="47" t="s">
        <v>88</v>
      </c>
      <c r="B6" s="24"/>
    </row>
    <row r="7" spans="1:2" ht="14.65" customHeight="1" x14ac:dyDescent="0.25">
      <c r="A7" s="6" t="s">
        <v>89</v>
      </c>
    </row>
    <row r="8" spans="1:2" ht="14.65" customHeight="1" x14ac:dyDescent="0.25">
      <c r="A8" s="6" t="s">
        <v>22</v>
      </c>
    </row>
    <row r="13" spans="1:2" ht="14.65" customHeight="1" x14ac:dyDescent="0.25">
      <c r="B13" s="33"/>
    </row>
  </sheetData>
  <hyperlinks>
    <hyperlink ref="A3" r:id="rId1" display="https://go.microsoft.com/fwlink/?linkid=874825"/>
    <hyperlink ref="A4" r:id="rId2" display="https://go.microsoft.com/fwlink/?linkid=874826"/>
    <hyperlink ref="A5" r:id="rId3" display="https://go.microsoft.com/fwlink/?linkid=874827"/>
    <hyperlink ref="A6" r:id="rId4" display="https://go.microsoft.com/fwlink/?linkid=874828"/>
  </hyperlinks>
  <printOptions horizontalCentered="1"/>
  <pageMargins left="0.7" right="0.7" top="0.75" bottom="0.75" header="0.3" footer="0.3"/>
  <pageSetup scale="61" fitToHeight="0" orientation="portrait" r:id="rId5"/>
  <headerFooter differentFirst="1">
    <oddFooter>Page &amp;P of &amp;N</oddFooter>
  </headerFooter>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MediaServiceKeyPoints xmlns="7f83e6f8-886b-43af-82bd-c70191393313" xsi:nil="true"/>
    <_ip_UnifiedCompliancePolicyUIAction xmlns="http://schemas.microsoft.com/sharepoint/v3" xsi:nil="true"/>
    <_ip_UnifiedCompliancePolicyProperties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22B1C47AD08B946A60F426AF87C5B61" ma:contentTypeVersion="17" ma:contentTypeDescription="Create a new document." ma:contentTypeScope="" ma:versionID="404ea20462402f80f4fc55dfa67f5be9">
  <xsd:schema xmlns:xsd="http://www.w3.org/2001/XMLSchema" xmlns:xs="http://www.w3.org/2001/XMLSchema" xmlns:p="http://schemas.microsoft.com/office/2006/metadata/properties" xmlns:ns1="http://schemas.microsoft.com/sharepoint/v3" xmlns:ns3="dd7c47ff-c060-483d-b183-fc753face390" xmlns:ns4="7f83e6f8-886b-43af-82bd-c70191393313" targetNamespace="http://schemas.microsoft.com/office/2006/metadata/properties" ma:root="true" ma:fieldsID="cb9166c5be9d9327f794e20268dd75b4" ns1:_="" ns3:_="" ns4:_="">
    <xsd:import namespace="http://schemas.microsoft.com/sharepoint/v3"/>
    <xsd:import namespace="dd7c47ff-c060-483d-b183-fc753face390"/>
    <xsd:import namespace="7f83e6f8-886b-43af-82bd-c70191393313"/>
    <xsd:element name="properties">
      <xsd:complexType>
        <xsd:sequence>
          <xsd:element name="documentManagement">
            <xsd:complexType>
              <xsd:all>
                <xsd:element ref="ns3:SharedWithDetails" minOccurs="0"/>
                <xsd:element ref="ns3:SharedWithUsers" minOccurs="0"/>
                <xsd:element ref="ns3:SharingHintHash" minOccurs="0"/>
                <xsd:element ref="ns3:LastSharedByUser" minOccurs="0"/>
                <xsd:element ref="ns3:LastSharedByTime" minOccurs="0"/>
                <xsd:element ref="ns4:MediaServiceMetadata" minOccurs="0"/>
                <xsd:element ref="ns4:MediaServiceFastMetadata" minOccurs="0"/>
                <xsd:element ref="ns1:_ip_UnifiedCompliancePolicyProperties" minOccurs="0"/>
                <xsd:element ref="ns1:_ip_UnifiedCompliancePolicyUIAction" minOccurs="0"/>
                <xsd:element ref="ns4:MediaServiceDateTaken" minOccurs="0"/>
                <xsd:element ref="ns4:MediaServiceAutoTags" minOccurs="0"/>
                <xsd:element ref="ns4:MediaServiceOCR" minOccurs="0"/>
                <xsd:element ref="ns4:MediaServiceEventHashCode" minOccurs="0"/>
                <xsd:element ref="ns4:MediaServiceGenerationTime" minOccurs="0"/>
                <xsd:element ref="ns4:MediaServiceAutoKeyPoints" minOccurs="0"/>
                <xsd:element ref="ns4:MediaServiceKeyPoints" minOccurs="0"/>
                <xsd:element ref="ns4: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5" nillable="true" ma:displayName="Unified Compliance Policy Properties" ma:description="" ma:hidden="true" ma:internalName="_ip_UnifiedCompliancePolicyProperties">
      <xsd:simpleType>
        <xsd:restriction base="dms:Note"/>
      </xsd:simpleType>
    </xsd:element>
    <xsd:element name="_ip_UnifiedCompliancePolicyUIAction" ma:index="16" nillable="true" ma:displayName="Unified Compliance Policy UI Action" ma:descrip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d7c47ff-c060-483d-b183-fc753face390" elementFormDefault="qualified">
    <xsd:import namespace="http://schemas.microsoft.com/office/2006/documentManagement/types"/>
    <xsd:import namespace="http://schemas.microsoft.com/office/infopath/2007/PartnerControls"/>
    <xsd:element name="SharedWithDetails" ma:index="8" nillable="true" ma:displayName="Shared With Details" ma:internalName="SharedWithDetails" ma:readOnly="true">
      <xsd:simpleType>
        <xsd:restriction base="dms:Note">
          <xsd:maxLength value="255"/>
        </xsd:restriction>
      </xsd:simpleType>
    </xsd:element>
    <xsd:element name="SharedWithUsers" ma:index="9"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ingHintHash" ma:index="10" nillable="true" ma:displayName="Sharing Hint Hash" ma:description="" ma:hidden="true" ma:internalName="SharingHintHash" ma:readOnly="true">
      <xsd:simpleType>
        <xsd:restriction base="dms:Text"/>
      </xsd:simpleType>
    </xsd:element>
    <xsd:element name="LastSharedByUser" ma:index="11" nillable="true" ma:displayName="Last Shared By User" ma:description="" ma:internalName="LastSharedByUser" ma:readOnly="true">
      <xsd:simpleType>
        <xsd:restriction base="dms:Note">
          <xsd:maxLength value="255"/>
        </xsd:restriction>
      </xsd:simpleType>
    </xsd:element>
    <xsd:element name="LastSharedByTime" ma:index="12" nillable="true" ma:displayName="Last Shared By Time" ma:description="" ma:internalName="LastSharedByTim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7f83e6f8-886b-43af-82bd-c70191393313" elementFormDefault="qualified">
    <xsd:import namespace="http://schemas.microsoft.com/office/2006/documentManagement/types"/>
    <xsd:import namespace="http://schemas.microsoft.com/office/infopath/2007/PartnerControls"/>
    <xsd:element name="MediaServiceMetadata" ma:index="13" nillable="true" ma:displayName="MediaServiceMetadata" ma:description="" ma:hidden="true" ma:internalName="MediaServiceMetadata" ma:readOnly="true">
      <xsd:simpleType>
        <xsd:restriction base="dms:Note"/>
      </xsd:simpleType>
    </xsd:element>
    <xsd:element name="MediaServiceFastMetadata" ma:index="14" nillable="true" ma:displayName="MediaServiceFastMetadata" ma:description="" ma:hidden="true" ma:internalName="MediaServiceFastMetadata" ma:readOnly="true">
      <xsd:simpleType>
        <xsd:restriction base="dms:Note"/>
      </xsd:simpleType>
    </xsd:element>
    <xsd:element name="MediaServiceDateTaken" ma:index="17" nillable="true" ma:displayName="MediaServiceDateTaken" ma:description="" ma:hidden="true" ma:internalName="MediaServiceDateTaken" ma:readOnly="true">
      <xsd:simpleType>
        <xsd:restriction base="dms:Text"/>
      </xsd:simpleType>
    </xsd:element>
    <xsd:element name="MediaServiceAutoTags" ma:index="18" nillable="true" ma:displayName="MediaServiceAutoTags" ma:description="" ma:internalName="MediaServiceAutoTags" ma:readOnly="true">
      <xsd:simpleType>
        <xsd:restriction base="dms:Text"/>
      </xsd:simpleType>
    </xsd:element>
    <xsd:element name="MediaServiceOCR" ma:index="19" nillable="true" ma:displayName="MediaServiceOCR" ma:description="" ma:internalName="MediaServiceOCR" ma:readOnly="true">
      <xsd:simpleType>
        <xsd:restriction base="dms:Note">
          <xsd:maxLength value="255"/>
        </xsd:restriction>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AutoKeyPoints" ma:index="22" nillable="true" ma:displayName="MediaServiceAutoKeyPoints" ma:hidden="true" ma:internalName="MediaServiceAutoKeyPoints" ma:readOnly="true">
      <xsd:simpleType>
        <xsd:restriction base="dms:Note"/>
      </xsd:simpleType>
    </xsd:element>
    <xsd:element name="MediaServiceKeyPoints" ma:index="23" nillable="true" ma:displayName="KeyPoints" ma:description="" ma:internalName="MediaServiceKeyPoints" ma:readOnly="false">
      <xsd:simpleType>
        <xsd:restriction base="dms:Note">
          <xsd:maxLength value="255"/>
        </xsd:restriction>
      </xsd:simpleType>
    </xsd:element>
    <xsd:element name="MediaServiceLocation" ma:index="24" nillable="true" ma:displayName="Location"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7F44CAA-2682-4B2B-8C04-5B8DBC979155}">
  <ds:schemaRefs>
    <ds:schemaRef ds:uri="http://schemas.microsoft.com/office/2006/metadata/properties"/>
    <ds:schemaRef ds:uri="http://schemas.microsoft.com/office/infopath/2007/PartnerControls"/>
    <ds:schemaRef ds:uri="7f83e6f8-886b-43af-82bd-c70191393313"/>
    <ds:schemaRef ds:uri="http://schemas.microsoft.com/sharepoint/v3"/>
  </ds:schemaRefs>
</ds:datastoreItem>
</file>

<file path=customXml/itemProps2.xml><?xml version="1.0" encoding="utf-8"?>
<ds:datastoreItem xmlns:ds="http://schemas.openxmlformats.org/officeDocument/2006/customXml" ds:itemID="{7F08E896-550B-4A3C-B56E-9540575C694A}">
  <ds:schemaRefs>
    <ds:schemaRef ds:uri="http://schemas.microsoft.com/sharepoint/v3/contenttype/forms"/>
  </ds:schemaRefs>
</ds:datastoreItem>
</file>

<file path=customXml/itemProps3.xml><?xml version="1.0" encoding="utf-8"?>
<ds:datastoreItem xmlns:ds="http://schemas.openxmlformats.org/officeDocument/2006/customXml" ds:itemID="{EE5C8CB5-71A9-485D-81A4-FDC8363AA8F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dd7c47ff-c060-483d-b183-fc753face390"/>
    <ds:schemaRef ds:uri="7f83e6f8-886b-43af-82bd-c7019139331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26</vt:i4>
      </vt:variant>
    </vt:vector>
  </HeadingPairs>
  <TitlesOfParts>
    <vt:vector size="26" baseType="lpstr">
      <vt:lpstr>Start</vt:lpstr>
      <vt:lpstr>1</vt:lpstr>
      <vt:lpstr>2</vt:lpstr>
      <vt:lpstr>3</vt:lpstr>
      <vt:lpstr>4</vt:lpstr>
      <vt:lpstr>5</vt:lpstr>
      <vt:lpstr>6</vt:lpstr>
      <vt:lpstr>7</vt:lpstr>
      <vt:lpstr>8</vt:lpstr>
      <vt:lpstr>9</vt:lpstr>
      <vt:lpstr>10</vt:lpstr>
      <vt:lpstr>11</vt:lpstr>
      <vt:lpstr>12</vt:lpstr>
      <vt:lpstr>13</vt:lpstr>
      <vt:lpstr>14</vt:lpstr>
      <vt:lpstr>15</vt:lpstr>
      <vt:lpstr>16</vt:lpstr>
      <vt:lpstr>17</vt:lpstr>
      <vt:lpstr>18</vt:lpstr>
      <vt:lpstr>19</vt:lpstr>
      <vt:lpstr>20</vt:lpstr>
      <vt:lpstr>21</vt:lpstr>
      <vt:lpstr>22</vt:lpstr>
      <vt:lpstr>23</vt:lpstr>
      <vt:lpstr>24</vt:lpstr>
      <vt:lpstr>Learn more</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2018-06-06T23:42:07Z</dcterms:created>
  <dcterms:modified xsi:type="dcterms:W3CDTF">2021-04-28T19:07:13Z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0x010100622B1C47AD08B946A60F426AF87C5B61</vt:lpwstr>
  </property>
</Properties>
</file>